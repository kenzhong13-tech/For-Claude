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guang/Desktop/MSc Bayes/Sercurity Investment/"/>
    </mc:Choice>
  </mc:AlternateContent>
  <xr:revisionPtr revIDLastSave="0" documentId="8_{824AA7DC-4786-F741-8510-2B296A43A9CB}" xr6:coauthVersionLast="47" xr6:coauthVersionMax="47" xr10:uidLastSave="{00000000-0000-0000-0000-000000000000}"/>
  <bookViews>
    <workbookView xWindow="20" yWindow="780" windowWidth="28760" windowHeight="16140" xr2:uid="{A0691597-072A-5742-B40E-F4A6BB548C79}"/>
  </bookViews>
  <sheets>
    <sheet name="Risky assets only" sheetId="1" r:id="rId1"/>
    <sheet name="Risky + risk-free" sheetId="2" r:id="rId2"/>
  </sheets>
  <externalReferences>
    <externalReference r:id="rId3"/>
    <externalReference r:id="rId4"/>
  </externalReferences>
  <definedNames>
    <definedName name="solver_adj" localSheetId="1" hidden="1">'Risky + risk-free'!$AD$47:$AD$52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'Risky + risk-free'!$AD$60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'Risky + risk-free'!$AD$66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94" i="2" l="1"/>
  <c r="C9" i="1" l="1"/>
  <c r="C10" i="1"/>
  <c r="C11" i="1"/>
  <c r="C12" i="1"/>
  <c r="C13" i="1"/>
  <c r="C14" i="1"/>
  <c r="M14" i="1" s="1"/>
  <c r="C15" i="1"/>
  <c r="C16" i="1"/>
  <c r="C72" i="1" s="1"/>
  <c r="C17" i="1"/>
  <c r="M17" i="1" s="1"/>
  <c r="C18" i="1"/>
  <c r="C19" i="1"/>
  <c r="C20" i="1"/>
  <c r="M20" i="1" s="1"/>
  <c r="C21" i="1"/>
  <c r="C22" i="1"/>
  <c r="M22" i="1" s="1"/>
  <c r="C23" i="1"/>
  <c r="C24" i="1"/>
  <c r="C25" i="1"/>
  <c r="M25" i="1" s="1"/>
  <c r="C26" i="1"/>
  <c r="C27" i="1"/>
  <c r="C28" i="1"/>
  <c r="M28" i="1" s="1"/>
  <c r="C29" i="1"/>
  <c r="C30" i="1"/>
  <c r="M30" i="1" s="1"/>
  <c r="C31" i="1"/>
  <c r="C32" i="1"/>
  <c r="M32" i="1" s="1"/>
  <c r="C33" i="1"/>
  <c r="M33" i="1" s="1"/>
  <c r="C34" i="1"/>
  <c r="C35" i="1"/>
  <c r="C36" i="1"/>
  <c r="M36" i="1" s="1"/>
  <c r="C37" i="1"/>
  <c r="M37" i="1" s="1"/>
  <c r="C38" i="1"/>
  <c r="M38" i="1" s="1"/>
  <c r="C39" i="1"/>
  <c r="M39" i="1" s="1"/>
  <c r="C40" i="1"/>
  <c r="M40" i="1" s="1"/>
  <c r="C41" i="1"/>
  <c r="C42" i="1"/>
  <c r="C43" i="1"/>
  <c r="C44" i="1"/>
  <c r="M44" i="1" s="1"/>
  <c r="C45" i="1"/>
  <c r="C46" i="1"/>
  <c r="M46" i="1" s="1"/>
  <c r="C47" i="1"/>
  <c r="C48" i="1"/>
  <c r="M48" i="1" s="1"/>
  <c r="C49" i="1"/>
  <c r="C50" i="1"/>
  <c r="C51" i="1"/>
  <c r="C52" i="1"/>
  <c r="C53" i="1"/>
  <c r="M53" i="1" s="1"/>
  <c r="C54" i="1"/>
  <c r="M54" i="1" s="1"/>
  <c r="C55" i="1"/>
  <c r="M55" i="1" s="1"/>
  <c r="C56" i="1"/>
  <c r="M56" i="1" s="1"/>
  <c r="C57" i="1"/>
  <c r="M57" i="1" s="1"/>
  <c r="C58" i="1"/>
  <c r="C59" i="1"/>
  <c r="C60" i="1"/>
  <c r="C61" i="1"/>
  <c r="C62" i="1"/>
  <c r="M62" i="1" s="1"/>
  <c r="C63" i="1"/>
  <c r="C64" i="1"/>
  <c r="M64" i="1" s="1"/>
  <c r="C65" i="1"/>
  <c r="C66" i="1"/>
  <c r="C67" i="1"/>
  <c r="C68" i="1"/>
  <c r="M13" i="1"/>
  <c r="M23" i="1"/>
  <c r="M24" i="1"/>
  <c r="M41" i="1"/>
  <c r="M47" i="1"/>
  <c r="M49" i="1"/>
  <c r="M65" i="1"/>
  <c r="D72" i="1"/>
  <c r="N9" i="1" a="1"/>
  <c r="N9" i="1" s="1"/>
  <c r="AA92" i="2"/>
  <c r="I73" i="2"/>
  <c r="H73" i="2"/>
  <c r="G73" i="2"/>
  <c r="AA10" i="2" s="1"/>
  <c r="F73" i="2"/>
  <c r="AA9" i="2" s="1"/>
  <c r="E73" i="2"/>
  <c r="AA8" i="2" s="1"/>
  <c r="D73" i="2"/>
  <c r="AA7" i="2" s="1"/>
  <c r="I72" i="2"/>
  <c r="Z12" i="2" s="1"/>
  <c r="H72" i="2"/>
  <c r="Z11" i="2" s="1"/>
  <c r="G72" i="2"/>
  <c r="F72" i="2"/>
  <c r="Z9" i="2" s="1"/>
  <c r="E72" i="2"/>
  <c r="Z8" i="2" s="1"/>
  <c r="D72" i="2"/>
  <c r="Z7" i="2" s="1"/>
  <c r="I71" i="2"/>
  <c r="H71" i="2"/>
  <c r="G71" i="2"/>
  <c r="F71" i="2"/>
  <c r="E71" i="2"/>
  <c r="D71" i="2"/>
  <c r="I70" i="2"/>
  <c r="H70" i="2"/>
  <c r="G70" i="2"/>
  <c r="F70" i="2"/>
  <c r="E70" i="2"/>
  <c r="D70" i="2"/>
  <c r="AD56" i="2" s="1" a="1"/>
  <c r="AD56" i="2" s="1"/>
  <c r="R74" i="2" s="1"/>
  <c r="C68" i="2"/>
  <c r="M68" i="2" s="1"/>
  <c r="C67" i="2"/>
  <c r="M67" i="2" s="1"/>
  <c r="C66" i="2"/>
  <c r="M66" i="2" s="1"/>
  <c r="C65" i="2"/>
  <c r="M65" i="2" s="1"/>
  <c r="C64" i="2"/>
  <c r="M64" i="2" s="1"/>
  <c r="C63" i="2"/>
  <c r="M63" i="2" s="1"/>
  <c r="C62" i="2"/>
  <c r="M62" i="2" s="1"/>
  <c r="C61" i="2"/>
  <c r="M61" i="2" s="1"/>
  <c r="AH60" i="2"/>
  <c r="AG60" i="2"/>
  <c r="AF60" i="2"/>
  <c r="AE60" i="2"/>
  <c r="AD60" i="2"/>
  <c r="AC60" i="2"/>
  <c r="AB60" i="2"/>
  <c r="AA60" i="2"/>
  <c r="Z60" i="2"/>
  <c r="C60" i="2"/>
  <c r="M60" i="2" s="1"/>
  <c r="M59" i="2"/>
  <c r="C59" i="2"/>
  <c r="C58" i="2"/>
  <c r="M58" i="2" s="1"/>
  <c r="C57" i="2"/>
  <c r="M57" i="2" s="1"/>
  <c r="C56" i="2"/>
  <c r="M56" i="2" s="1"/>
  <c r="C55" i="2"/>
  <c r="M55" i="2" s="1"/>
  <c r="C54" i="2"/>
  <c r="M54" i="2" s="1"/>
  <c r="C53" i="2"/>
  <c r="M53" i="2" s="1"/>
  <c r="C52" i="2"/>
  <c r="M52" i="2" s="1"/>
  <c r="C51" i="2"/>
  <c r="M51" i="2" s="1"/>
  <c r="C50" i="2"/>
  <c r="M50" i="2" s="1"/>
  <c r="C49" i="2"/>
  <c r="M49" i="2" s="1"/>
  <c r="C48" i="2"/>
  <c r="M48" i="2" s="1"/>
  <c r="C47" i="2"/>
  <c r="M47" i="2" s="1"/>
  <c r="C46" i="2"/>
  <c r="M46" i="2" s="1"/>
  <c r="C45" i="2"/>
  <c r="M45" i="2" s="1"/>
  <c r="C44" i="2"/>
  <c r="M44" i="2" s="1"/>
  <c r="C43" i="2"/>
  <c r="M43" i="2" s="1"/>
  <c r="C42" i="2"/>
  <c r="M42" i="2" s="1"/>
  <c r="C41" i="2"/>
  <c r="M41" i="2" s="1"/>
  <c r="C40" i="2"/>
  <c r="M40" i="2" s="1"/>
  <c r="C39" i="2"/>
  <c r="M39" i="2" s="1"/>
  <c r="C38" i="2"/>
  <c r="M38" i="2" s="1"/>
  <c r="Z37" i="2"/>
  <c r="C37" i="2"/>
  <c r="M37" i="2" s="1"/>
  <c r="Z36" i="2"/>
  <c r="C36" i="2"/>
  <c r="M36" i="2" s="1"/>
  <c r="Z35" i="2"/>
  <c r="C35" i="2"/>
  <c r="M35" i="2" s="1"/>
  <c r="C34" i="2"/>
  <c r="M34" i="2" s="1"/>
  <c r="C33" i="2"/>
  <c r="M33" i="2" s="1"/>
  <c r="C32" i="2"/>
  <c r="M32" i="2" s="1"/>
  <c r="C31" i="2"/>
  <c r="M31" i="2" s="1"/>
  <c r="C30" i="2"/>
  <c r="M30" i="2" s="1"/>
  <c r="C29" i="2"/>
  <c r="M29" i="2" s="1"/>
  <c r="X28" i="2"/>
  <c r="X29" i="2" s="1"/>
  <c r="X30" i="2" s="1"/>
  <c r="X31" i="2" s="1"/>
  <c r="C28" i="2"/>
  <c r="M28" i="2" s="1"/>
  <c r="C27" i="2"/>
  <c r="M27" i="2" s="1"/>
  <c r="C26" i="2"/>
  <c r="M26" i="2" s="1"/>
  <c r="C25" i="2"/>
  <c r="M25" i="2" s="1"/>
  <c r="C24" i="2"/>
  <c r="M24" i="2" s="1"/>
  <c r="C23" i="2"/>
  <c r="M23" i="2" s="1"/>
  <c r="AE22" i="2"/>
  <c r="C22" i="2"/>
  <c r="M22" i="2" s="1"/>
  <c r="AD21" i="2"/>
  <c r="C21" i="2"/>
  <c r="M21" i="2" s="1"/>
  <c r="AC20" i="2"/>
  <c r="C20" i="2"/>
  <c r="M20" i="2" s="1"/>
  <c r="AB19" i="2"/>
  <c r="C19" i="2"/>
  <c r="M19" i="2" s="1"/>
  <c r="AA18" i="2"/>
  <c r="AH55" i="2" s="1" a="1"/>
  <c r="AH55" i="2" s="1"/>
  <c r="V75" i="2" s="1"/>
  <c r="C18" i="2"/>
  <c r="M18" i="2" s="1"/>
  <c r="Z17" i="2"/>
  <c r="AG55" i="2" s="1" a="1"/>
  <c r="AG55" i="2" s="1"/>
  <c r="U75" i="2" s="1"/>
  <c r="C17" i="2"/>
  <c r="M17" i="2" s="1"/>
  <c r="C16" i="2"/>
  <c r="M16" i="2" s="1"/>
  <c r="C15" i="2"/>
  <c r="M15" i="2" s="1"/>
  <c r="C14" i="2"/>
  <c r="M14" i="2" s="1"/>
  <c r="C13" i="2"/>
  <c r="M13" i="2" s="1"/>
  <c r="AA12" i="2"/>
  <c r="C12" i="2"/>
  <c r="M12" i="2" s="1"/>
  <c r="AA11" i="2"/>
  <c r="C11" i="2"/>
  <c r="M11" i="2" s="1"/>
  <c r="Z10" i="2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C10" i="2"/>
  <c r="M10" i="2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N9" i="2" a="1"/>
  <c r="S66" i="2" s="1"/>
  <c r="C9" i="2"/>
  <c r="I73" i="1"/>
  <c r="AA12" i="1" s="1"/>
  <c r="H73" i="1"/>
  <c r="AA11" i="1" s="1"/>
  <c r="G73" i="1"/>
  <c r="AA10" i="1" s="1"/>
  <c r="F73" i="1"/>
  <c r="E73" i="1"/>
  <c r="AA8" i="1" s="1"/>
  <c r="D73" i="1"/>
  <c r="I72" i="1"/>
  <c r="Z12" i="1" s="1"/>
  <c r="H72" i="1"/>
  <c r="Z11" i="1" s="1"/>
  <c r="G72" i="1"/>
  <c r="Z10" i="1" s="1"/>
  <c r="F72" i="1"/>
  <c r="Z9" i="1" s="1"/>
  <c r="E72" i="1"/>
  <c r="Z8" i="1" s="1"/>
  <c r="Z7" i="1"/>
  <c r="I71" i="1"/>
  <c r="H71" i="1"/>
  <c r="G71" i="1"/>
  <c r="F71" i="1"/>
  <c r="E71" i="1"/>
  <c r="D71" i="1"/>
  <c r="I70" i="1"/>
  <c r="H70" i="1"/>
  <c r="G70" i="1"/>
  <c r="F70" i="1"/>
  <c r="E70" i="1"/>
  <c r="AF56" i="1" s="1" a="1"/>
  <c r="AF56" i="1" s="1"/>
  <c r="T74" i="1" s="1"/>
  <c r="D70" i="1"/>
  <c r="AA56" i="1" s="1" a="1"/>
  <c r="AA56" i="1" s="1"/>
  <c r="O74" i="1" s="1"/>
  <c r="M68" i="1"/>
  <c r="M67" i="1"/>
  <c r="M66" i="1"/>
  <c r="M63" i="1"/>
  <c r="M61" i="1"/>
  <c r="AH60" i="1"/>
  <c r="AG60" i="1"/>
  <c r="AF60" i="1"/>
  <c r="AE60" i="1"/>
  <c r="AD60" i="1"/>
  <c r="AC60" i="1"/>
  <c r="AB60" i="1"/>
  <c r="AA60" i="1"/>
  <c r="Z60" i="1"/>
  <c r="M60" i="1"/>
  <c r="M59" i="1"/>
  <c r="M58" i="1"/>
  <c r="M52" i="1"/>
  <c r="M51" i="1"/>
  <c r="M50" i="1"/>
  <c r="M45" i="1"/>
  <c r="M43" i="1"/>
  <c r="M42" i="1"/>
  <c r="Z37" i="1"/>
  <c r="Z36" i="1"/>
  <c r="Z35" i="1"/>
  <c r="M35" i="1"/>
  <c r="M34" i="1"/>
  <c r="M31" i="1"/>
  <c r="X30" i="1"/>
  <c r="X31" i="1" s="1"/>
  <c r="M29" i="1"/>
  <c r="X28" i="1"/>
  <c r="X29" i="1" s="1"/>
  <c r="M27" i="1"/>
  <c r="M26" i="1"/>
  <c r="AE22" i="1"/>
  <c r="AD21" i="1"/>
  <c r="M21" i="1"/>
  <c r="AC20" i="1"/>
  <c r="AB19" i="1"/>
  <c r="M19" i="1"/>
  <c r="AA18" i="1"/>
  <c r="M18" i="1"/>
  <c r="Z17" i="1"/>
  <c r="AE55" i="1" s="1" a="1"/>
  <c r="AE55" i="1" s="1"/>
  <c r="S75" i="1" s="1"/>
  <c r="M15" i="1"/>
  <c r="M12" i="1"/>
  <c r="M11" i="1"/>
  <c r="L10" i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A9" i="1"/>
  <c r="AA7" i="1"/>
  <c r="Z55" i="1" l="1" a="1"/>
  <c r="Z55" i="1" s="1"/>
  <c r="N75" i="1" s="1"/>
  <c r="AB56" i="1" a="1"/>
  <c r="AB56" i="1" s="1"/>
  <c r="P74" i="1" s="1"/>
  <c r="AG56" i="1" a="1"/>
  <c r="AG56" i="1" s="1"/>
  <c r="U74" i="1" s="1"/>
  <c r="S68" i="1"/>
  <c r="N67" i="1"/>
  <c r="U65" i="1"/>
  <c r="P64" i="1"/>
  <c r="N63" i="1"/>
  <c r="R61" i="1"/>
  <c r="V59" i="1"/>
  <c r="S58" i="1"/>
  <c r="U56" i="1"/>
  <c r="N55" i="1"/>
  <c r="P53" i="1"/>
  <c r="N51" i="1"/>
  <c r="V48" i="1"/>
  <c r="R46" i="1"/>
  <c r="V43" i="1"/>
  <c r="U41" i="1"/>
  <c r="Q39" i="1"/>
  <c r="U36" i="1"/>
  <c r="T34" i="1"/>
  <c r="P32" i="1"/>
  <c r="T29" i="1"/>
  <c r="S27" i="1"/>
  <c r="O25" i="1"/>
  <c r="S22" i="1"/>
  <c r="R20" i="1"/>
  <c r="N18" i="1"/>
  <c r="R15" i="1"/>
  <c r="Q13" i="1"/>
  <c r="V10" i="1"/>
  <c r="M16" i="1"/>
  <c r="AA55" i="1" a="1"/>
  <c r="AA55" i="1" s="1"/>
  <c r="O75" i="1" s="1"/>
  <c r="AF55" i="1" a="1"/>
  <c r="AF55" i="1" s="1"/>
  <c r="T75" i="1" s="1"/>
  <c r="AH56" i="1" a="1"/>
  <c r="AH56" i="1" s="1"/>
  <c r="V74" i="1" s="1"/>
  <c r="AC55" i="2" a="1"/>
  <c r="AC55" i="2" s="1"/>
  <c r="Q75" i="2" s="1"/>
  <c r="Z56" i="2" a="1"/>
  <c r="Z56" i="2" s="1"/>
  <c r="N74" i="2" s="1"/>
  <c r="AE56" i="2" a="1"/>
  <c r="AE56" i="2" s="1"/>
  <c r="S74" i="2" s="1"/>
  <c r="R68" i="1"/>
  <c r="V66" i="1"/>
  <c r="T65" i="1"/>
  <c r="O64" i="1"/>
  <c r="S62" i="1"/>
  <c r="Q61" i="1"/>
  <c r="U59" i="1"/>
  <c r="O58" i="1"/>
  <c r="Q56" i="1"/>
  <c r="S54" i="1"/>
  <c r="U52" i="1"/>
  <c r="V50" i="1"/>
  <c r="Q48" i="1"/>
  <c r="P46" i="1"/>
  <c r="U43" i="1"/>
  <c r="P41" i="1"/>
  <c r="O39" i="1"/>
  <c r="T36" i="1"/>
  <c r="O34" i="1"/>
  <c r="N32" i="1"/>
  <c r="S29" i="1"/>
  <c r="N27" i="1"/>
  <c r="V24" i="1"/>
  <c r="R22" i="1"/>
  <c r="V19" i="1"/>
  <c r="U17" i="1"/>
  <c r="Q15" i="1"/>
  <c r="U12" i="1"/>
  <c r="T10" i="1"/>
  <c r="AG55" i="1" a="1"/>
  <c r="AG55" i="1" s="1"/>
  <c r="U75" i="1" s="1"/>
  <c r="AC56" i="1" a="1"/>
  <c r="AC56" i="1" s="1"/>
  <c r="Q74" i="1" s="1"/>
  <c r="AD55" i="2" a="1"/>
  <c r="AD55" i="2" s="1"/>
  <c r="R75" i="2" s="1"/>
  <c r="Q68" i="1"/>
  <c r="U66" i="1"/>
  <c r="P65" i="1"/>
  <c r="N64" i="1"/>
  <c r="R62" i="1"/>
  <c r="P61" i="1"/>
  <c r="T59" i="1"/>
  <c r="N58" i="1"/>
  <c r="P56" i="1"/>
  <c r="R54" i="1"/>
  <c r="T52" i="1"/>
  <c r="T50" i="1"/>
  <c r="P48" i="1"/>
  <c r="T45" i="1"/>
  <c r="S43" i="1"/>
  <c r="O41" i="1"/>
  <c r="S38" i="1"/>
  <c r="R36" i="1"/>
  <c r="N34" i="1"/>
  <c r="R31" i="1"/>
  <c r="Q29" i="1"/>
  <c r="V26" i="1"/>
  <c r="Q24" i="1"/>
  <c r="P22" i="1"/>
  <c r="U19" i="1"/>
  <c r="P17" i="1"/>
  <c r="O15" i="1"/>
  <c r="T12" i="1"/>
  <c r="O10" i="1"/>
  <c r="AB55" i="1" a="1"/>
  <c r="AB55" i="1" s="1"/>
  <c r="P75" i="1" s="1"/>
  <c r="AE55" i="2" a="1"/>
  <c r="AE55" i="2" s="1"/>
  <c r="S75" i="2" s="1"/>
  <c r="AA56" i="2" a="1"/>
  <c r="AA56" i="2" s="1"/>
  <c r="O74" i="2" s="1"/>
  <c r="AF56" i="2" a="1"/>
  <c r="AF56" i="2" s="1"/>
  <c r="T74" i="2" s="1"/>
  <c r="V67" i="1"/>
  <c r="T66" i="1"/>
  <c r="O65" i="1"/>
  <c r="V63" i="1"/>
  <c r="Q62" i="1"/>
  <c r="U60" i="1"/>
  <c r="S59" i="1"/>
  <c r="U57" i="1"/>
  <c r="N56" i="1"/>
  <c r="P54" i="1"/>
  <c r="R52" i="1"/>
  <c r="O50" i="1"/>
  <c r="N48" i="1"/>
  <c r="S45" i="1"/>
  <c r="N43" i="1"/>
  <c r="V40" i="1"/>
  <c r="R38" i="1"/>
  <c r="V35" i="1"/>
  <c r="U33" i="1"/>
  <c r="Q31" i="1"/>
  <c r="U28" i="1"/>
  <c r="T26" i="1"/>
  <c r="P24" i="1"/>
  <c r="T21" i="1"/>
  <c r="S19" i="1"/>
  <c r="O17" i="1"/>
  <c r="S14" i="1"/>
  <c r="R12" i="1"/>
  <c r="N10" i="1"/>
  <c r="T60" i="1"/>
  <c r="U9" i="1"/>
  <c r="AD56" i="1" a="1"/>
  <c r="AD56" i="1" s="1"/>
  <c r="R74" i="1" s="1"/>
  <c r="AC55" i="1" a="1"/>
  <c r="AC55" i="1" s="1"/>
  <c r="Q75" i="1" s="1"/>
  <c r="AH55" i="1" a="1"/>
  <c r="AH55" i="1" s="1"/>
  <c r="V75" i="1" s="1"/>
  <c r="Z55" i="2" a="1"/>
  <c r="Z55" i="2" s="1"/>
  <c r="N75" i="2" s="1"/>
  <c r="AG56" i="2" a="1"/>
  <c r="AG56" i="2" s="1"/>
  <c r="U74" i="2" s="1"/>
  <c r="U67" i="1"/>
  <c r="S66" i="1"/>
  <c r="N65" i="1"/>
  <c r="R63" i="1"/>
  <c r="P62" i="1"/>
  <c r="R59" i="1"/>
  <c r="T57" i="1"/>
  <c r="V55" i="1"/>
  <c r="O54" i="1"/>
  <c r="V51" i="1"/>
  <c r="N50" i="1"/>
  <c r="R47" i="1"/>
  <c r="Q45" i="1"/>
  <c r="V42" i="1"/>
  <c r="Q40" i="1"/>
  <c r="P38" i="1"/>
  <c r="U35" i="1"/>
  <c r="P33" i="1"/>
  <c r="O31" i="1"/>
  <c r="T28" i="1"/>
  <c r="O26" i="1"/>
  <c r="N24" i="1"/>
  <c r="S21" i="1"/>
  <c r="N19" i="1"/>
  <c r="V16" i="1"/>
  <c r="R14" i="1"/>
  <c r="V11" i="1"/>
  <c r="Z56" i="1" a="1"/>
  <c r="Z56" i="1" s="1"/>
  <c r="N74" i="1" s="1"/>
  <c r="AE56" i="1" a="1"/>
  <c r="AE56" i="1" s="1"/>
  <c r="S74" i="1" s="1"/>
  <c r="AA55" i="2" a="1"/>
  <c r="AA55" i="2" s="1"/>
  <c r="O75" i="2" s="1"/>
  <c r="AF55" i="2" a="1"/>
  <c r="AF55" i="2" s="1"/>
  <c r="T75" i="2" s="1"/>
  <c r="AB56" i="2" a="1"/>
  <c r="AB56" i="2" s="1"/>
  <c r="P74" i="2" s="1"/>
  <c r="AH56" i="2" a="1"/>
  <c r="AH56" i="2" s="1"/>
  <c r="V74" i="2" s="1"/>
  <c r="T67" i="1"/>
  <c r="O66" i="1"/>
  <c r="V64" i="1"/>
  <c r="Q63" i="1"/>
  <c r="O62" i="1"/>
  <c r="S60" i="1"/>
  <c r="N59" i="1"/>
  <c r="P57" i="1"/>
  <c r="R55" i="1"/>
  <c r="T53" i="1"/>
  <c r="U51" i="1"/>
  <c r="U49" i="1"/>
  <c r="Q47" i="1"/>
  <c r="U44" i="1"/>
  <c r="T42" i="1"/>
  <c r="P40" i="1"/>
  <c r="T37" i="1"/>
  <c r="S35" i="1"/>
  <c r="O33" i="1"/>
  <c r="S30" i="1"/>
  <c r="R28" i="1"/>
  <c r="N26" i="1"/>
  <c r="R23" i="1"/>
  <c r="Q21" i="1"/>
  <c r="V18" i="1"/>
  <c r="Q16" i="1"/>
  <c r="P14" i="1"/>
  <c r="U11" i="1"/>
  <c r="P9" i="1"/>
  <c r="AD55" i="1" a="1"/>
  <c r="AD55" i="1" s="1"/>
  <c r="R75" i="1" s="1"/>
  <c r="AC56" i="2" a="1"/>
  <c r="AC56" i="2" s="1"/>
  <c r="Q74" i="2" s="1"/>
  <c r="U68" i="1"/>
  <c r="S67" i="1"/>
  <c r="N66" i="1"/>
  <c r="U64" i="1"/>
  <c r="P63" i="1"/>
  <c r="T61" i="1"/>
  <c r="R60" i="1"/>
  <c r="V58" i="1"/>
  <c r="O57" i="1"/>
  <c r="Q55" i="1"/>
  <c r="S53" i="1"/>
  <c r="S51" i="1"/>
  <c r="P49" i="1"/>
  <c r="O47" i="1"/>
  <c r="T44" i="1"/>
  <c r="O42" i="1"/>
  <c r="N40" i="1"/>
  <c r="S37" i="1"/>
  <c r="N35" i="1"/>
  <c r="V32" i="1"/>
  <c r="R30" i="1"/>
  <c r="V27" i="1"/>
  <c r="U25" i="1"/>
  <c r="Q23" i="1"/>
  <c r="U20" i="1"/>
  <c r="T18" i="1"/>
  <c r="P16" i="1"/>
  <c r="T13" i="1"/>
  <c r="S11" i="1"/>
  <c r="AB55" i="2" a="1"/>
  <c r="AB55" i="2" s="1"/>
  <c r="P75" i="2" s="1"/>
  <c r="T68" i="1"/>
  <c r="R67" i="1"/>
  <c r="V65" i="1"/>
  <c r="Q64" i="1"/>
  <c r="O63" i="1"/>
  <c r="S61" i="1"/>
  <c r="Q60" i="1"/>
  <c r="T58" i="1"/>
  <c r="V56" i="1"/>
  <c r="O55" i="1"/>
  <c r="Q53" i="1"/>
  <c r="R51" i="1"/>
  <c r="O49" i="1"/>
  <c r="S46" i="1"/>
  <c r="R44" i="1"/>
  <c r="N42" i="1"/>
  <c r="R39" i="1"/>
  <c r="Q37" i="1"/>
  <c r="V34" i="1"/>
  <c r="Q32" i="1"/>
  <c r="P30" i="1"/>
  <c r="U27" i="1"/>
  <c r="P25" i="1"/>
  <c r="O23" i="1"/>
  <c r="T20" i="1"/>
  <c r="O18" i="1"/>
  <c r="N16" i="1"/>
  <c r="S13" i="1"/>
  <c r="N11" i="1"/>
  <c r="Q52" i="1"/>
  <c r="S50" i="1"/>
  <c r="V47" i="1"/>
  <c r="R43" i="1"/>
  <c r="V39" i="1"/>
  <c r="P37" i="1"/>
  <c r="S34" i="1"/>
  <c r="V31" i="1"/>
  <c r="P29" i="1"/>
  <c r="S26" i="1"/>
  <c r="V23" i="1"/>
  <c r="Q20" i="1"/>
  <c r="R11" i="1"/>
  <c r="P68" i="1"/>
  <c r="Q67" i="1"/>
  <c r="R66" i="1"/>
  <c r="S65" i="1"/>
  <c r="T64" i="1"/>
  <c r="U63" i="1"/>
  <c r="V62" i="1"/>
  <c r="N62" i="1"/>
  <c r="O61" i="1"/>
  <c r="P60" i="1"/>
  <c r="Q59" i="1"/>
  <c r="R58" i="1"/>
  <c r="S57" i="1"/>
  <c r="T56" i="1"/>
  <c r="U55" i="1"/>
  <c r="V54" i="1"/>
  <c r="N54" i="1"/>
  <c r="O53" i="1"/>
  <c r="P52" i="1"/>
  <c r="Q51" i="1"/>
  <c r="R50" i="1"/>
  <c r="S49" i="1"/>
  <c r="T48" i="1"/>
  <c r="U47" i="1"/>
  <c r="V46" i="1"/>
  <c r="N46" i="1"/>
  <c r="O45" i="1"/>
  <c r="P44" i="1"/>
  <c r="Q43" i="1"/>
  <c r="R42" i="1"/>
  <c r="S41" i="1"/>
  <c r="T40" i="1"/>
  <c r="U39" i="1"/>
  <c r="V38" i="1"/>
  <c r="N38" i="1"/>
  <c r="O37" i="1"/>
  <c r="P36" i="1"/>
  <c r="Q35" i="1"/>
  <c r="R34" i="1"/>
  <c r="S33" i="1"/>
  <c r="T32" i="1"/>
  <c r="U31" i="1"/>
  <c r="V30" i="1"/>
  <c r="N30" i="1"/>
  <c r="O29" i="1"/>
  <c r="P28" i="1"/>
  <c r="Q27" i="1"/>
  <c r="R26" i="1"/>
  <c r="S25" i="1"/>
  <c r="T24" i="1"/>
  <c r="U23" i="1"/>
  <c r="V22" i="1"/>
  <c r="N22" i="1"/>
  <c r="O21" i="1"/>
  <c r="P20" i="1"/>
  <c r="Q19" i="1"/>
  <c r="R18" i="1"/>
  <c r="S17" i="1"/>
  <c r="T16" i="1"/>
  <c r="U15" i="1"/>
  <c r="V14" i="1"/>
  <c r="N14" i="1"/>
  <c r="O13" i="1"/>
  <c r="P12" i="1"/>
  <c r="Q11" i="1"/>
  <c r="R10" i="1"/>
  <c r="S9" i="1"/>
  <c r="U48" i="1"/>
  <c r="O46" i="1"/>
  <c r="Q44" i="1"/>
  <c r="T41" i="1"/>
  <c r="O38" i="1"/>
  <c r="R35" i="1"/>
  <c r="U32" i="1"/>
  <c r="O30" i="1"/>
  <c r="R27" i="1"/>
  <c r="U24" i="1"/>
  <c r="O22" i="1"/>
  <c r="R19" i="1"/>
  <c r="T17" i="1"/>
  <c r="V15" i="1"/>
  <c r="O14" i="1"/>
  <c r="P13" i="1"/>
  <c r="Q12" i="1"/>
  <c r="S10" i="1"/>
  <c r="O68" i="1"/>
  <c r="P67" i="1"/>
  <c r="Q66" i="1"/>
  <c r="R65" i="1"/>
  <c r="S64" i="1"/>
  <c r="T63" i="1"/>
  <c r="U62" i="1"/>
  <c r="V61" i="1"/>
  <c r="N61" i="1"/>
  <c r="O60" i="1"/>
  <c r="P59" i="1"/>
  <c r="Q58" i="1"/>
  <c r="R57" i="1"/>
  <c r="S56" i="1"/>
  <c r="T55" i="1"/>
  <c r="U54" i="1"/>
  <c r="V53" i="1"/>
  <c r="N53" i="1"/>
  <c r="O52" i="1"/>
  <c r="P51" i="1"/>
  <c r="Q50" i="1"/>
  <c r="R49" i="1"/>
  <c r="S48" i="1"/>
  <c r="T47" i="1"/>
  <c r="U46" i="1"/>
  <c r="V45" i="1"/>
  <c r="N45" i="1"/>
  <c r="O44" i="1"/>
  <c r="P43" i="1"/>
  <c r="Q42" i="1"/>
  <c r="R41" i="1"/>
  <c r="S40" i="1"/>
  <c r="T39" i="1"/>
  <c r="U38" i="1"/>
  <c r="V37" i="1"/>
  <c r="N37" i="1"/>
  <c r="O36" i="1"/>
  <c r="P35" i="1"/>
  <c r="Q34" i="1"/>
  <c r="R33" i="1"/>
  <c r="S32" i="1"/>
  <c r="T31" i="1"/>
  <c r="U30" i="1"/>
  <c r="V29" i="1"/>
  <c r="N29" i="1"/>
  <c r="O28" i="1"/>
  <c r="P27" i="1"/>
  <c r="Q26" i="1"/>
  <c r="R25" i="1"/>
  <c r="S24" i="1"/>
  <c r="T23" i="1"/>
  <c r="U22" i="1"/>
  <c r="V21" i="1"/>
  <c r="N21" i="1"/>
  <c r="O20" i="1"/>
  <c r="P19" i="1"/>
  <c r="Q18" i="1"/>
  <c r="R17" i="1"/>
  <c r="S16" i="1"/>
  <c r="T15" i="1"/>
  <c r="U14" i="1"/>
  <c r="V13" i="1"/>
  <c r="N13" i="1"/>
  <c r="O12" i="1"/>
  <c r="P11" i="1"/>
  <c r="Q10" i="1"/>
  <c r="R9" i="1"/>
  <c r="T49" i="1"/>
  <c r="N47" i="1"/>
  <c r="P45" i="1"/>
  <c r="S42" i="1"/>
  <c r="U40" i="1"/>
  <c r="N39" i="1"/>
  <c r="Q36" i="1"/>
  <c r="T33" i="1"/>
  <c r="N31" i="1"/>
  <c r="Q28" i="1"/>
  <c r="T25" i="1"/>
  <c r="N23" i="1"/>
  <c r="P21" i="1"/>
  <c r="S18" i="1"/>
  <c r="U16" i="1"/>
  <c r="N15" i="1"/>
  <c r="T9" i="1"/>
  <c r="V68" i="1"/>
  <c r="N68" i="1"/>
  <c r="O67" i="1"/>
  <c r="P66" i="1"/>
  <c r="Q65" i="1"/>
  <c r="R64" i="1"/>
  <c r="S63" i="1"/>
  <c r="T62" i="1"/>
  <c r="U61" i="1"/>
  <c r="V60" i="1"/>
  <c r="N60" i="1"/>
  <c r="O59" i="1"/>
  <c r="P58" i="1"/>
  <c r="Q57" i="1"/>
  <c r="R56" i="1"/>
  <c r="S55" i="1"/>
  <c r="T54" i="1"/>
  <c r="U53" i="1"/>
  <c r="V52" i="1"/>
  <c r="N52" i="1"/>
  <c r="O51" i="1"/>
  <c r="P50" i="1"/>
  <c r="Q49" i="1"/>
  <c r="R48" i="1"/>
  <c r="S47" i="1"/>
  <c r="T46" i="1"/>
  <c r="U45" i="1"/>
  <c r="V44" i="1"/>
  <c r="N44" i="1"/>
  <c r="O43" i="1"/>
  <c r="P42" i="1"/>
  <c r="Q41" i="1"/>
  <c r="R40" i="1"/>
  <c r="S39" i="1"/>
  <c r="T38" i="1"/>
  <c r="U37" i="1"/>
  <c r="V36" i="1"/>
  <c r="N36" i="1"/>
  <c r="O35" i="1"/>
  <c r="P34" i="1"/>
  <c r="Q33" i="1"/>
  <c r="R32" i="1"/>
  <c r="S31" i="1"/>
  <c r="T30" i="1"/>
  <c r="U29" i="1"/>
  <c r="V28" i="1"/>
  <c r="N28" i="1"/>
  <c r="O27" i="1"/>
  <c r="P26" i="1"/>
  <c r="Q25" i="1"/>
  <c r="R24" i="1"/>
  <c r="S23" i="1"/>
  <c r="T22" i="1"/>
  <c r="U21" i="1"/>
  <c r="V20" i="1"/>
  <c r="N20" i="1"/>
  <c r="O19" i="1"/>
  <c r="P18" i="1"/>
  <c r="Q17" i="1"/>
  <c r="R16" i="1"/>
  <c r="S15" i="1"/>
  <c r="T14" i="1"/>
  <c r="U13" i="1"/>
  <c r="V12" i="1"/>
  <c r="N12" i="1"/>
  <c r="O11" i="1"/>
  <c r="P10" i="1"/>
  <c r="Q9" i="1"/>
  <c r="O9" i="1"/>
  <c r="U58" i="1"/>
  <c r="V57" i="1"/>
  <c r="N57" i="1"/>
  <c r="O56" i="1"/>
  <c r="P55" i="1"/>
  <c r="Q54" i="1"/>
  <c r="R53" i="1"/>
  <c r="S52" i="1"/>
  <c r="T51" i="1"/>
  <c r="U50" i="1"/>
  <c r="V49" i="1"/>
  <c r="N49" i="1"/>
  <c r="O48" i="1"/>
  <c r="P47" i="1"/>
  <c r="Q46" i="1"/>
  <c r="R45" i="1"/>
  <c r="S44" i="1"/>
  <c r="T43" i="1"/>
  <c r="U42" i="1"/>
  <c r="V41" i="1"/>
  <c r="N41" i="1"/>
  <c r="O40" i="1"/>
  <c r="P39" i="1"/>
  <c r="Q38" i="1"/>
  <c r="R37" i="1"/>
  <c r="S36" i="1"/>
  <c r="T35" i="1"/>
  <c r="U34" i="1"/>
  <c r="V33" i="1"/>
  <c r="N33" i="1"/>
  <c r="O32" i="1"/>
  <c r="P31" i="1"/>
  <c r="Q30" i="1"/>
  <c r="R29" i="1"/>
  <c r="S28" i="1"/>
  <c r="T27" i="1"/>
  <c r="U26" i="1"/>
  <c r="V25" i="1"/>
  <c r="N25" i="1"/>
  <c r="O24" i="1"/>
  <c r="P23" i="1"/>
  <c r="Q22" i="1"/>
  <c r="R21" i="1"/>
  <c r="S20" i="1"/>
  <c r="T19" i="1"/>
  <c r="U18" i="1"/>
  <c r="V17" i="1"/>
  <c r="N17" i="1"/>
  <c r="O16" i="1"/>
  <c r="P15" i="1"/>
  <c r="Q14" i="1"/>
  <c r="R13" i="1"/>
  <c r="S12" i="1"/>
  <c r="T11" i="1"/>
  <c r="U10" i="1"/>
  <c r="V9" i="1"/>
  <c r="S61" i="2"/>
  <c r="R62" i="2"/>
  <c r="P48" i="2"/>
  <c r="T29" i="2"/>
  <c r="R15" i="2"/>
  <c r="P37" i="2"/>
  <c r="P9" i="2"/>
  <c r="Q23" i="2"/>
  <c r="P46" i="2"/>
  <c r="O10" i="2"/>
  <c r="R31" i="2"/>
  <c r="Q47" i="2"/>
  <c r="N18" i="2"/>
  <c r="O40" i="2"/>
  <c r="V11" i="2"/>
  <c r="P33" i="2"/>
  <c r="Q49" i="2"/>
  <c r="S57" i="2"/>
  <c r="T12" i="2"/>
  <c r="U19" i="2"/>
  <c r="V26" i="2"/>
  <c r="N34" i="2"/>
  <c r="O42" i="2"/>
  <c r="P50" i="2"/>
  <c r="R58" i="2"/>
  <c r="P68" i="2"/>
  <c r="S67" i="2"/>
  <c r="S65" i="2"/>
  <c r="R63" i="2"/>
  <c r="R61" i="2"/>
  <c r="R59" i="2"/>
  <c r="Q57" i="2"/>
  <c r="Q55" i="2"/>
  <c r="Q53" i="2"/>
  <c r="Q51" i="2"/>
  <c r="P49" i="2"/>
  <c r="P47" i="2"/>
  <c r="P45" i="2"/>
  <c r="O43" i="2"/>
  <c r="O41" i="2"/>
  <c r="O39" i="2"/>
  <c r="O37" i="2"/>
  <c r="N35" i="2"/>
  <c r="O33" i="2"/>
  <c r="Q31" i="2"/>
  <c r="S29" i="2"/>
  <c r="U27" i="2"/>
  <c r="N26" i="2"/>
  <c r="P24" i="2"/>
  <c r="R22" i="2"/>
  <c r="T20" i="2"/>
  <c r="V18" i="2"/>
  <c r="O17" i="2"/>
  <c r="Q15" i="2"/>
  <c r="S13" i="2"/>
  <c r="U11" i="2"/>
  <c r="N10" i="2"/>
  <c r="S62" i="2"/>
  <c r="R52" i="2"/>
  <c r="Q46" i="2"/>
  <c r="P40" i="2"/>
  <c r="O34" i="2"/>
  <c r="S30" i="2"/>
  <c r="P25" i="2"/>
  <c r="V19" i="2"/>
  <c r="S14" i="2"/>
  <c r="N11" i="2"/>
  <c r="V68" i="2"/>
  <c r="V66" i="2"/>
  <c r="V64" i="2"/>
  <c r="V62" i="2"/>
  <c r="U60" i="2"/>
  <c r="U58" i="2"/>
  <c r="U56" i="2"/>
  <c r="T54" i="2"/>
  <c r="T52" i="2"/>
  <c r="T50" i="2"/>
  <c r="T48" i="2"/>
  <c r="S46" i="2"/>
  <c r="S44" i="2"/>
  <c r="S42" i="2"/>
  <c r="R40" i="2"/>
  <c r="R38" i="2"/>
  <c r="R36" i="2"/>
  <c r="R34" i="2"/>
  <c r="S32" i="2"/>
  <c r="U30" i="2"/>
  <c r="N29" i="2"/>
  <c r="P27" i="2"/>
  <c r="R25" i="2"/>
  <c r="T23" i="2"/>
  <c r="V21" i="2"/>
  <c r="O20" i="2"/>
  <c r="Q18" i="2"/>
  <c r="S16" i="2"/>
  <c r="U14" i="2"/>
  <c r="N13" i="2"/>
  <c r="P11" i="2"/>
  <c r="V9" i="2"/>
  <c r="T68" i="2"/>
  <c r="T66" i="2"/>
  <c r="T64" i="2"/>
  <c r="S60" i="2"/>
  <c r="R56" i="2"/>
  <c r="R54" i="2"/>
  <c r="R50" i="2"/>
  <c r="Q44" i="2"/>
  <c r="P38" i="2"/>
  <c r="Q32" i="2"/>
  <c r="N27" i="2"/>
  <c r="T21" i="2"/>
  <c r="Q16" i="2"/>
  <c r="Q9" i="2"/>
  <c r="U68" i="2"/>
  <c r="U66" i="2"/>
  <c r="U64" i="2"/>
  <c r="T62" i="2"/>
  <c r="T60" i="2"/>
  <c r="T58" i="2"/>
  <c r="T56" i="2"/>
  <c r="S54" i="2"/>
  <c r="S52" i="2"/>
  <c r="S50" i="2"/>
  <c r="R48" i="2"/>
  <c r="R46" i="2"/>
  <c r="R44" i="2"/>
  <c r="R42" i="2"/>
  <c r="Q40" i="2"/>
  <c r="Q38" i="2"/>
  <c r="Q36" i="2"/>
  <c r="P34" i="2"/>
  <c r="R32" i="2"/>
  <c r="T30" i="2"/>
  <c r="V28" i="2"/>
  <c r="O27" i="2"/>
  <c r="Q25" i="2"/>
  <c r="S23" i="2"/>
  <c r="U21" i="2"/>
  <c r="N20" i="2"/>
  <c r="P18" i="2"/>
  <c r="R16" i="2"/>
  <c r="T14" i="2"/>
  <c r="V12" i="2"/>
  <c r="O11" i="2"/>
  <c r="R9" i="2"/>
  <c r="S58" i="2"/>
  <c r="Q48" i="2"/>
  <c r="P42" i="2"/>
  <c r="P36" i="2"/>
  <c r="U28" i="2"/>
  <c r="R23" i="2"/>
  <c r="O18" i="2"/>
  <c r="U12" i="2"/>
  <c r="V67" i="2"/>
  <c r="V65" i="2"/>
  <c r="V63" i="2"/>
  <c r="U61" i="2"/>
  <c r="U59" i="2"/>
  <c r="U57" i="2"/>
  <c r="U55" i="2"/>
  <c r="T53" i="2"/>
  <c r="T51" i="2"/>
  <c r="T49" i="2"/>
  <c r="S47" i="2"/>
  <c r="S45" i="2"/>
  <c r="S43" i="2"/>
  <c r="S41" i="2"/>
  <c r="R39" i="2"/>
  <c r="R37" i="2"/>
  <c r="R35" i="2"/>
  <c r="R33" i="2"/>
  <c r="T31" i="2"/>
  <c r="V29" i="2"/>
  <c r="O28" i="2"/>
  <c r="Q26" i="2"/>
  <c r="S24" i="2"/>
  <c r="U22" i="2"/>
  <c r="N21" i="2"/>
  <c r="P19" i="2"/>
  <c r="R17" i="2"/>
  <c r="T15" i="2"/>
  <c r="V13" i="2"/>
  <c r="O12" i="2"/>
  <c r="AA64" i="2" s="1"/>
  <c r="Q10" i="2"/>
  <c r="O9" i="2"/>
  <c r="U67" i="2"/>
  <c r="U65" i="2"/>
  <c r="U63" i="2"/>
  <c r="T61" i="2"/>
  <c r="T59" i="2"/>
  <c r="T57" i="2"/>
  <c r="S55" i="2"/>
  <c r="S53" i="2"/>
  <c r="S51" i="2"/>
  <c r="S49" i="2"/>
  <c r="R47" i="2"/>
  <c r="R45" i="2"/>
  <c r="R43" i="2"/>
  <c r="Q41" i="2"/>
  <c r="Q39" i="2"/>
  <c r="Q37" i="2"/>
  <c r="Q35" i="2"/>
  <c r="Q33" i="2"/>
  <c r="S31" i="2"/>
  <c r="U29" i="2"/>
  <c r="N28" i="2"/>
  <c r="P26" i="2"/>
  <c r="R24" i="2"/>
  <c r="T22" i="2"/>
  <c r="V20" i="2"/>
  <c r="O19" i="2"/>
  <c r="Q17" i="2"/>
  <c r="S15" i="2"/>
  <c r="U13" i="2"/>
  <c r="N12" i="2"/>
  <c r="P10" i="2"/>
  <c r="N9" i="2"/>
  <c r="S22" i="2"/>
  <c r="R53" i="2"/>
  <c r="P16" i="2"/>
  <c r="R30" i="2"/>
  <c r="Q54" i="2"/>
  <c r="Q24" i="2"/>
  <c r="R55" i="2"/>
  <c r="V10" i="2"/>
  <c r="P32" i="2"/>
  <c r="R64" i="2"/>
  <c r="N19" i="2"/>
  <c r="T13" i="2"/>
  <c r="U20" i="2"/>
  <c r="V27" i="2"/>
  <c r="O35" i="2"/>
  <c r="Q43" i="2"/>
  <c r="R51" i="2"/>
  <c r="S59" i="2"/>
  <c r="T67" i="2"/>
  <c r="Q45" i="2"/>
  <c r="O38" i="2"/>
  <c r="P17" i="2"/>
  <c r="P39" i="2"/>
  <c r="S63" i="2"/>
  <c r="O25" i="2"/>
  <c r="Q56" i="2"/>
  <c r="O26" i="2"/>
  <c r="P41" i="2"/>
  <c r="T65" i="2"/>
  <c r="R14" i="2"/>
  <c r="S21" i="2"/>
  <c r="T28" i="2"/>
  <c r="N36" i="2"/>
  <c r="P44" i="2"/>
  <c r="Q52" i="2"/>
  <c r="R60" i="2"/>
  <c r="S68" i="2"/>
  <c r="U10" i="2"/>
  <c r="T11" i="2"/>
  <c r="S12" i="2"/>
  <c r="R13" i="2"/>
  <c r="Q14" i="2"/>
  <c r="P15" i="2"/>
  <c r="O16" i="2"/>
  <c r="N17" i="2"/>
  <c r="V17" i="2"/>
  <c r="U18" i="2"/>
  <c r="T19" i="2"/>
  <c r="S20" i="2"/>
  <c r="R21" i="2"/>
  <c r="Q22" i="2"/>
  <c r="P23" i="2"/>
  <c r="O24" i="2"/>
  <c r="N25" i="2"/>
  <c r="V25" i="2"/>
  <c r="U26" i="2"/>
  <c r="T27" i="2"/>
  <c r="S28" i="2"/>
  <c r="R29" i="2"/>
  <c r="Q30" i="2"/>
  <c r="P31" i="2"/>
  <c r="O32" i="2"/>
  <c r="N33" i="2"/>
  <c r="V33" i="2"/>
  <c r="V34" i="2"/>
  <c r="V35" i="2"/>
  <c r="V36" i="2"/>
  <c r="N38" i="2"/>
  <c r="N39" i="2"/>
  <c r="N40" i="2"/>
  <c r="N41" i="2"/>
  <c r="N42" i="2"/>
  <c r="N43" i="2"/>
  <c r="N44" i="2"/>
  <c r="O45" i="2"/>
  <c r="O46" i="2"/>
  <c r="O47" i="2"/>
  <c r="O48" i="2"/>
  <c r="O49" i="2"/>
  <c r="O50" i="2"/>
  <c r="O51" i="2"/>
  <c r="P52" i="2"/>
  <c r="P53" i="2"/>
  <c r="P54" i="2"/>
  <c r="P55" i="2"/>
  <c r="P56" i="2"/>
  <c r="P57" i="2"/>
  <c r="P58" i="2"/>
  <c r="Q59" i="2"/>
  <c r="Q60" i="2"/>
  <c r="Q61" i="2"/>
  <c r="Q62" i="2"/>
  <c r="Q63" i="2"/>
  <c r="Q64" i="2"/>
  <c r="Q65" i="2"/>
  <c r="R66" i="2"/>
  <c r="R67" i="2"/>
  <c r="R68" i="2"/>
  <c r="C73" i="2"/>
  <c r="C71" i="2"/>
  <c r="C70" i="2"/>
  <c r="C72" i="2"/>
  <c r="S9" i="2"/>
  <c r="R10" i="2"/>
  <c r="Q11" i="2"/>
  <c r="P12" i="2"/>
  <c r="O13" i="2"/>
  <c r="N14" i="2"/>
  <c r="V14" i="2"/>
  <c r="U15" i="2"/>
  <c r="T16" i="2"/>
  <c r="S17" i="2"/>
  <c r="R18" i="2"/>
  <c r="Q19" i="2"/>
  <c r="P20" i="2"/>
  <c r="O21" i="2"/>
  <c r="N22" i="2"/>
  <c r="V22" i="2"/>
  <c r="U23" i="2"/>
  <c r="T24" i="2"/>
  <c r="S25" i="2"/>
  <c r="R26" i="2"/>
  <c r="Q27" i="2"/>
  <c r="P28" i="2"/>
  <c r="O29" i="2"/>
  <c r="N30" i="2"/>
  <c r="V30" i="2"/>
  <c r="U31" i="2"/>
  <c r="T32" i="2"/>
  <c r="S33" i="2"/>
  <c r="S34" i="2"/>
  <c r="S35" i="2"/>
  <c r="S36" i="2"/>
  <c r="S37" i="2"/>
  <c r="S38" i="2"/>
  <c r="S39" i="2"/>
  <c r="T40" i="2"/>
  <c r="T41" i="2"/>
  <c r="T42" i="2"/>
  <c r="T43" i="2"/>
  <c r="T44" i="2"/>
  <c r="T45" i="2"/>
  <c r="T46" i="2"/>
  <c r="U47" i="2"/>
  <c r="U48" i="2"/>
  <c r="U49" i="2"/>
  <c r="U50" i="2"/>
  <c r="U51" i="2"/>
  <c r="U52" i="2"/>
  <c r="U53" i="2"/>
  <c r="V54" i="2"/>
  <c r="V55" i="2"/>
  <c r="V56" i="2"/>
  <c r="V57" i="2"/>
  <c r="V58" i="2"/>
  <c r="V59" i="2"/>
  <c r="V60" i="2"/>
  <c r="N62" i="2"/>
  <c r="N63" i="2"/>
  <c r="N64" i="2"/>
  <c r="N65" i="2"/>
  <c r="N66" i="2"/>
  <c r="N67" i="2"/>
  <c r="N68" i="2"/>
  <c r="M9" i="2"/>
  <c r="T9" i="2"/>
  <c r="S10" i="2"/>
  <c r="R11" i="2"/>
  <c r="Q12" i="2"/>
  <c r="P13" i="2"/>
  <c r="O14" i="2"/>
  <c r="N15" i="2"/>
  <c r="V15" i="2"/>
  <c r="U16" i="2"/>
  <c r="T17" i="2"/>
  <c r="S18" i="2"/>
  <c r="R19" i="2"/>
  <c r="Q20" i="2"/>
  <c r="P21" i="2"/>
  <c r="O22" i="2"/>
  <c r="N23" i="2"/>
  <c r="V23" i="2"/>
  <c r="U24" i="2"/>
  <c r="T25" i="2"/>
  <c r="S26" i="2"/>
  <c r="R27" i="2"/>
  <c r="Q28" i="2"/>
  <c r="P29" i="2"/>
  <c r="O30" i="2"/>
  <c r="N31" i="2"/>
  <c r="V31" i="2"/>
  <c r="U32" i="2"/>
  <c r="T33" i="2"/>
  <c r="T34" i="2"/>
  <c r="T35" i="2"/>
  <c r="T36" i="2"/>
  <c r="T37" i="2"/>
  <c r="T38" i="2"/>
  <c r="U39" i="2"/>
  <c r="U40" i="2"/>
  <c r="U41" i="2"/>
  <c r="U42" i="2"/>
  <c r="U43" i="2"/>
  <c r="U44" i="2"/>
  <c r="U45" i="2"/>
  <c r="V46" i="2"/>
  <c r="V47" i="2"/>
  <c r="V48" i="2"/>
  <c r="V49" i="2"/>
  <c r="V50" i="2"/>
  <c r="V51" i="2"/>
  <c r="V52" i="2"/>
  <c r="N54" i="2"/>
  <c r="N55" i="2"/>
  <c r="N56" i="2"/>
  <c r="N57" i="2"/>
  <c r="N58" i="2"/>
  <c r="N59" i="2"/>
  <c r="N60" i="2"/>
  <c r="O61" i="2"/>
  <c r="O62" i="2"/>
  <c r="O63" i="2"/>
  <c r="O64" i="2"/>
  <c r="O65" i="2"/>
  <c r="O66" i="2"/>
  <c r="O67" i="2"/>
  <c r="O68" i="2"/>
  <c r="P67" i="2"/>
  <c r="Q66" i="2"/>
  <c r="R65" i="2"/>
  <c r="S64" i="2"/>
  <c r="T63" i="2"/>
  <c r="U62" i="2"/>
  <c r="V61" i="2"/>
  <c r="N61" i="2"/>
  <c r="O60" i="2"/>
  <c r="P59" i="2"/>
  <c r="Q58" i="2"/>
  <c r="R57" i="2"/>
  <c r="S56" i="2"/>
  <c r="T55" i="2"/>
  <c r="U54" i="2"/>
  <c r="V53" i="2"/>
  <c r="N53" i="2"/>
  <c r="O52" i="2"/>
  <c r="P51" i="2"/>
  <c r="Q50" i="2"/>
  <c r="R49" i="2"/>
  <c r="S48" i="2"/>
  <c r="T47" i="2"/>
  <c r="U46" i="2"/>
  <c r="V45" i="2"/>
  <c r="N45" i="2"/>
  <c r="O44" i="2"/>
  <c r="P43" i="2"/>
  <c r="Q42" i="2"/>
  <c r="R41" i="2"/>
  <c r="S40" i="2"/>
  <c r="T39" i="2"/>
  <c r="U38" i="2"/>
  <c r="V37" i="2"/>
  <c r="N37" i="2"/>
  <c r="O36" i="2"/>
  <c r="P35" i="2"/>
  <c r="Q34" i="2"/>
  <c r="U9" i="2"/>
  <c r="T10" i="2"/>
  <c r="S11" i="2"/>
  <c r="R12" i="2"/>
  <c r="Q13" i="2"/>
  <c r="P14" i="2"/>
  <c r="O15" i="2"/>
  <c r="N16" i="2"/>
  <c r="V16" i="2"/>
  <c r="U17" i="2"/>
  <c r="T18" i="2"/>
  <c r="S19" i="2"/>
  <c r="R20" i="2"/>
  <c r="Q21" i="2"/>
  <c r="P22" i="2"/>
  <c r="O23" i="2"/>
  <c r="N24" i="2"/>
  <c r="V24" i="2"/>
  <c r="U25" i="2"/>
  <c r="T26" i="2"/>
  <c r="S27" i="2"/>
  <c r="R28" i="2"/>
  <c r="Q29" i="2"/>
  <c r="P30" i="2"/>
  <c r="O31" i="2"/>
  <c r="N32" i="2"/>
  <c r="V32" i="2"/>
  <c r="U33" i="2"/>
  <c r="U34" i="2"/>
  <c r="U35" i="2"/>
  <c r="U36" i="2"/>
  <c r="U37" i="2"/>
  <c r="V38" i="2"/>
  <c r="V39" i="2"/>
  <c r="V40" i="2"/>
  <c r="V41" i="2"/>
  <c r="V42" i="2"/>
  <c r="V43" i="2"/>
  <c r="V44" i="2"/>
  <c r="N46" i="2"/>
  <c r="N47" i="2"/>
  <c r="N48" i="2"/>
  <c r="N49" i="2"/>
  <c r="N50" i="2"/>
  <c r="N51" i="2"/>
  <c r="N52" i="2"/>
  <c r="O53" i="2"/>
  <c r="O54" i="2"/>
  <c r="O55" i="2"/>
  <c r="O56" i="2"/>
  <c r="O57" i="2"/>
  <c r="O58" i="2"/>
  <c r="O59" i="2"/>
  <c r="P60" i="2"/>
  <c r="P61" i="2"/>
  <c r="P62" i="2"/>
  <c r="P63" i="2"/>
  <c r="P64" i="2"/>
  <c r="P65" i="2"/>
  <c r="P66" i="2"/>
  <c r="Q67" i="2"/>
  <c r="Q68" i="2"/>
  <c r="AH64" i="1"/>
  <c r="AG64" i="1"/>
  <c r="AF64" i="1"/>
  <c r="AE64" i="1"/>
  <c r="AD64" i="1"/>
  <c r="AC64" i="1"/>
  <c r="AB64" i="1"/>
  <c r="AA64" i="1"/>
  <c r="Z64" i="1"/>
  <c r="C70" i="1"/>
  <c r="C73" i="1"/>
  <c r="M9" i="1"/>
  <c r="C71" i="1"/>
  <c r="P71" i="2" l="1"/>
  <c r="N71" i="2"/>
  <c r="O70" i="2"/>
  <c r="R71" i="2"/>
  <c r="V71" i="2"/>
  <c r="AA65" i="2"/>
  <c r="Z65" i="2"/>
  <c r="AA74" i="2" s="1"/>
  <c r="N70" i="2"/>
  <c r="Q70" i="2"/>
  <c r="O71" i="2"/>
  <c r="S70" i="2"/>
  <c r="S71" i="2"/>
  <c r="AE65" i="2"/>
  <c r="AE64" i="2"/>
  <c r="M71" i="2"/>
  <c r="M70" i="2"/>
  <c r="Q71" i="2"/>
  <c r="AC64" i="2"/>
  <c r="P70" i="2"/>
  <c r="AG65" i="2"/>
  <c r="U71" i="2"/>
  <c r="U70" i="2"/>
  <c r="AG64" i="2"/>
  <c r="AH64" i="2"/>
  <c r="AH65" i="2"/>
  <c r="AC65" i="2"/>
  <c r="AF65" i="2"/>
  <c r="T70" i="2"/>
  <c r="T71" i="2"/>
  <c r="AF64" i="2"/>
  <c r="AB65" i="2"/>
  <c r="Z64" i="2"/>
  <c r="R70" i="2"/>
  <c r="V70" i="2"/>
  <c r="AB64" i="2"/>
  <c r="AD64" i="2"/>
  <c r="Z93" i="2" s="1"/>
  <c r="S70" i="1"/>
  <c r="S71" i="1"/>
  <c r="M71" i="1"/>
  <c r="M70" i="1"/>
  <c r="N70" i="1"/>
  <c r="N71" i="1"/>
  <c r="O70" i="1"/>
  <c r="O71" i="1"/>
  <c r="V70" i="1"/>
  <c r="V71" i="1"/>
  <c r="R70" i="1"/>
  <c r="R71" i="1"/>
  <c r="AC65" i="1"/>
  <c r="AA65" i="1"/>
  <c r="AG65" i="1"/>
  <c r="AE65" i="1"/>
  <c r="AB65" i="1"/>
  <c r="Z65" i="1"/>
  <c r="AA74" i="1" s="1"/>
  <c r="AH65" i="1"/>
  <c r="AF65" i="1"/>
  <c r="Q71" i="1"/>
  <c r="Q70" i="1"/>
  <c r="T70" i="1"/>
  <c r="T71" i="1"/>
  <c r="P71" i="1"/>
  <c r="P70" i="1"/>
  <c r="U71" i="1"/>
  <c r="U70" i="1"/>
  <c r="AD65" i="2" l="1"/>
  <c r="AD57" i="2"/>
  <c r="AD57" i="1"/>
  <c r="AD65" i="1"/>
  <c r="AA9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<sst xmlns="http://schemas.openxmlformats.org/spreadsheetml/2006/main" count="248" uniqueCount="70">
  <si>
    <t>Return series</t>
  </si>
  <si>
    <t>Portfolio returns</t>
  </si>
  <si>
    <t>Summary statistics: Annualised means, annualised standard deviations, and correlation</t>
  </si>
  <si>
    <t>Annualised mean</t>
  </si>
  <si>
    <t>Annualised standard deviation</t>
  </si>
  <si>
    <t>risk-free rate</t>
  </si>
  <si>
    <t>risk free rate</t>
  </si>
  <si>
    <t>S&amp;P500</t>
  </si>
  <si>
    <t>Russell 2000</t>
  </si>
  <si>
    <t xml:space="preserve">Bllomberg US Treasusry </t>
  </si>
  <si>
    <t>Bloomberg US TIPS Index</t>
  </si>
  <si>
    <t>ICE BofA US Corporate +High Yield</t>
  </si>
  <si>
    <t>S&amp;P US Real Estate</t>
  </si>
  <si>
    <t>P1: min return</t>
  </si>
  <si>
    <t>P2: min risk</t>
  </si>
  <si>
    <t>P3</t>
  </si>
  <si>
    <t>P4</t>
  </si>
  <si>
    <t>P5: max Sharpe</t>
  </si>
  <si>
    <t>P6</t>
  </si>
  <si>
    <t>P7</t>
  </si>
  <si>
    <t>P8</t>
  </si>
  <si>
    <t>P9: Max Return</t>
  </si>
  <si>
    <t>p.a.</t>
  </si>
  <si>
    <t>per month</t>
  </si>
  <si>
    <t>Large Cap</t>
  </si>
  <si>
    <t>Small Cap</t>
  </si>
  <si>
    <t>Bllomberg US Treasusry TR</t>
  </si>
  <si>
    <t>Variance-covariance matrix</t>
  </si>
  <si>
    <t>Correlation matrix</t>
  </si>
  <si>
    <t>Minimum</t>
  </si>
  <si>
    <t>Maximum</t>
  </si>
  <si>
    <t>Average</t>
  </si>
  <si>
    <t>Portfolio Variance:</t>
  </si>
  <si>
    <t>Objective: Minimise the portfolio standard deviation for a given level of expected return</t>
  </si>
  <si>
    <t>Portfolio with minium return</t>
  </si>
  <si>
    <t>Minimum risk portfolio</t>
  </si>
  <si>
    <t>Max Sharpe</t>
  </si>
  <si>
    <t>Portfolio with maximum return</t>
  </si>
  <si>
    <t>Weights</t>
  </si>
  <si>
    <t>Std deviation</t>
  </si>
  <si>
    <t>Average return</t>
  </si>
  <si>
    <t>Expected Sharpe ratio</t>
  </si>
  <si>
    <t>Set of constraints</t>
  </si>
  <si>
    <t>Sum of weights</t>
  </si>
  <si>
    <t>E(R) constraint</t>
  </si>
  <si>
    <t>Annualised average return</t>
  </si>
  <si>
    <t xml:space="preserve">Mean </t>
  </si>
  <si>
    <t>Mean</t>
  </si>
  <si>
    <t xml:space="preserve">Plot of Markowitz' minimum variance opportunity set </t>
  </si>
  <si>
    <t>St deviation</t>
  </si>
  <si>
    <t>Std dev</t>
  </si>
  <si>
    <t>Using matrices for portfolio mean and return</t>
  </si>
  <si>
    <t>Markowitz's minimum variance opportunity set</t>
  </si>
  <si>
    <t>Annualised St deviation</t>
  </si>
  <si>
    <t>P1</t>
  </si>
  <si>
    <t>P2</t>
  </si>
  <si>
    <t>P5</t>
  </si>
  <si>
    <t>P9</t>
  </si>
  <si>
    <t>Annual standard deviation</t>
  </si>
  <si>
    <t>Annualaverage return</t>
  </si>
  <si>
    <t>Portfolio mean</t>
  </si>
  <si>
    <t>Portfolio st. dev</t>
  </si>
  <si>
    <t>Bllomberg US Treasusry</t>
  </si>
  <si>
    <t>Portfolio variance:</t>
  </si>
  <si>
    <t>Max Sharpe ratio</t>
  </si>
  <si>
    <t>Linear efficient frontier is given by:</t>
  </si>
  <si>
    <t>Risk free rate</t>
  </si>
  <si>
    <t>Tangency portfolio = maximum sharpe portfolio</t>
  </si>
  <si>
    <t>Rf borrowing portfolio for randomply chosen risk level 18% (any risk higher than the risk of tangency portfolio)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</si>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</sst>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"/>
    <numFmt numFmtId="167" formatCode="0.000000"/>
    <numFmt numFmtId="168" formatCode="0.0000000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theme="8" tint="-0.249977111117893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Helvetica Neue"/>
      <family val="2"/>
    </font>
    <font>
      <sz val="10"/>
      <color theme="8" tint="-0.249977111117893"/>
      <name val="Helvetica Neue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color theme="1"/>
      <name val="Times New Roman"/>
      <family val="1"/>
    </font>
    <font>
      <sz val="14"/>
      <color theme="1"/>
      <name val="Calibri (Body)"/>
    </font>
    <font>
      <b/>
      <sz val="16"/>
      <color theme="1"/>
      <name val="Calibri (Body)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center" wrapText="1"/>
    </xf>
    <xf numFmtId="0" fontId="6" fillId="0" borderId="0" xfId="0" applyFont="1"/>
    <xf numFmtId="0" fontId="7" fillId="0" borderId="0" xfId="0" applyFont="1"/>
    <xf numFmtId="10" fontId="4" fillId="0" borderId="2" xfId="1" applyNumberFormat="1" applyFont="1" applyBorder="1"/>
    <xf numFmtId="2" fontId="4" fillId="0" borderId="2" xfId="0" applyNumberFormat="1" applyFont="1" applyBorder="1"/>
    <xf numFmtId="10" fontId="4" fillId="0" borderId="0" xfId="1" applyNumberFormat="1" applyFont="1" applyBorder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2" fontId="0" fillId="0" borderId="0" xfId="0" applyNumberFormat="1"/>
    <xf numFmtId="164" fontId="6" fillId="0" borderId="0" xfId="0" applyNumberFormat="1" applyFont="1"/>
    <xf numFmtId="10" fontId="0" fillId="0" borderId="0" xfId="1" applyNumberFormat="1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0" fillId="0" borderId="4" xfId="0" applyBorder="1"/>
    <xf numFmtId="0" fontId="1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/>
    <xf numFmtId="0" fontId="4" fillId="0" borderId="6" xfId="0" applyFont="1" applyBorder="1" applyAlignment="1">
      <alignment horizontal="left"/>
    </xf>
    <xf numFmtId="2" fontId="4" fillId="0" borderId="7" xfId="0" applyNumberFormat="1" applyFont="1" applyBorder="1"/>
    <xf numFmtId="0" fontId="4" fillId="0" borderId="8" xfId="0" applyFont="1" applyBorder="1" applyAlignment="1">
      <alignment horizontal="left"/>
    </xf>
    <xf numFmtId="2" fontId="4" fillId="0" borderId="9" xfId="0" applyNumberFormat="1" applyFont="1" applyBorder="1"/>
    <xf numFmtId="0" fontId="4" fillId="0" borderId="10" xfId="0" applyFont="1" applyBorder="1" applyAlignment="1">
      <alignment horizontal="left"/>
    </xf>
    <xf numFmtId="2" fontId="4" fillId="0" borderId="11" xfId="0" applyNumberFormat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17" fillId="0" borderId="0" xfId="0" applyFont="1"/>
    <xf numFmtId="0" fontId="18" fillId="0" borderId="0" xfId="0" applyFont="1"/>
    <xf numFmtId="10" fontId="4" fillId="0" borderId="0" xfId="0" applyNumberFormat="1" applyFont="1"/>
    <xf numFmtId="17" fontId="0" fillId="0" borderId="0" xfId="0" applyNumberFormat="1"/>
    <xf numFmtId="166" fontId="0" fillId="0" borderId="0" xfId="0" applyNumberForma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7" fontId="0" fillId="0" borderId="18" xfId="0" applyNumberFormat="1" applyBorder="1"/>
    <xf numFmtId="10" fontId="4" fillId="0" borderId="0" xfId="1" applyNumberFormat="1" applyFont="1"/>
    <xf numFmtId="17" fontId="0" fillId="0" borderId="20" xfId="0" applyNumberFormat="1" applyBorder="1"/>
    <xf numFmtId="167" fontId="0" fillId="0" borderId="4" xfId="0" applyNumberFormat="1" applyBorder="1"/>
    <xf numFmtId="167" fontId="0" fillId="0" borderId="21" xfId="0" applyNumberFormat="1" applyBorder="1"/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7" fontId="20" fillId="0" borderId="0" xfId="0" applyNumberFormat="1" applyFont="1"/>
    <xf numFmtId="167" fontId="0" fillId="0" borderId="0" xfId="0" applyNumberFormat="1"/>
    <xf numFmtId="17" fontId="2" fillId="0" borderId="0" xfId="0" applyNumberFormat="1" applyFont="1"/>
    <xf numFmtId="0" fontId="2" fillId="0" borderId="0" xfId="0" applyFont="1"/>
    <xf numFmtId="168" fontId="0" fillId="0" borderId="0" xfId="0" applyNumberFormat="1"/>
    <xf numFmtId="17" fontId="21" fillId="0" borderId="0" xfId="0" applyNumberFormat="1" applyFont="1" applyAlignment="1">
      <alignment horizontal="right"/>
    </xf>
    <xf numFmtId="17" fontId="22" fillId="0" borderId="0" xfId="0" applyNumberFormat="1" applyFont="1"/>
    <xf numFmtId="0" fontId="23" fillId="0" borderId="0" xfId="0" applyFont="1"/>
    <xf numFmtId="0" fontId="0" fillId="0" borderId="0" xfId="0" applyAlignment="1">
      <alignment horizontal="right"/>
    </xf>
    <xf numFmtId="164" fontId="4" fillId="0" borderId="0" xfId="0" applyNumberFormat="1" applyFont="1"/>
    <xf numFmtId="167" fontId="0" fillId="0" borderId="19" xfId="0" applyNumberFormat="1" applyBorder="1"/>
  </cellXfs>
  <cellStyles count="2">
    <cellStyle name="Normal" xfId="0" builtinId="0"/>
    <cellStyle name="Per 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Minimum</a:t>
            </a:r>
            <a:r>
              <a:rPr lang="en-GB" baseline="0"/>
              <a:t> variance</a:t>
            </a:r>
            <a:r>
              <a:rPr lang="en-GB"/>
              <a:t> frontier</a:t>
            </a:r>
            <a:r>
              <a:rPr lang="en-GB" baseline="0"/>
              <a:t> of risky assets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Min return portfolio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2D9-AB45-8D74-8336D22DD8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Minimum risk</a:t>
                    </a:r>
                    <a:r>
                      <a:rPr lang="en-US" baseline="0"/>
                      <a:t> portfolio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2D9-AB45-8D74-8336D22DD8D1}"/>
                </c:ext>
              </c:extLst>
            </c:dLbl>
            <c:dLbl>
              <c:idx val="2"/>
              <c:layout>
                <c:manualLayout>
                  <c:x val="-6.1349693251534117E-3"/>
                  <c:y val="6.884681583476764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2D9-AB45-8D74-8336D22DD8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P4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2D9-AB45-8D74-8336D22DD8D1}"/>
                </c:ext>
              </c:extLst>
            </c:dLbl>
            <c:dLbl>
              <c:idx val="4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Maximum Sharpe portfolio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4-42D9-AB45-8D74-8336D22DD8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P6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2D9-AB45-8D74-8336D22DD8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P7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2D9-AB45-8D74-8336D22DD8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P8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2D9-AB45-8D74-8336D22DD8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Max return portfolio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2D9-AB45-8D74-8336D22DD8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'[2]EF risky assets'!$Z$74:$Z$82</c:f>
              <c:numCache>
                <c:formatCode>General</c:formatCode>
                <c:ptCount val="9"/>
                <c:pt idx="0">
                  <c:v>4.47941781818854E-2</c:v>
                </c:pt>
                <c:pt idx="1">
                  <c:v>4.0898696965075587E-2</c:v>
                </c:pt>
                <c:pt idx="2">
                  <c:v>4.1531170917698805E-2</c:v>
                </c:pt>
                <c:pt idx="3">
                  <c:v>5.5131887140209286E-2</c:v>
                </c:pt>
                <c:pt idx="4">
                  <c:v>6.9913521149213315E-2</c:v>
                </c:pt>
                <c:pt idx="5">
                  <c:v>8.3272981820615599E-2</c:v>
                </c:pt>
                <c:pt idx="6">
                  <c:v>0.10973933044503331</c:v>
                </c:pt>
                <c:pt idx="7">
                  <c:v>0.14413132126750616</c:v>
                </c:pt>
                <c:pt idx="8">
                  <c:v>0.17189025120253087</c:v>
                </c:pt>
              </c:numCache>
            </c:numRef>
          </c:xVal>
          <c:yVal>
            <c:numRef>
              <c:f>'[2]EF risky assets'!$AA$74:$AA$82</c:f>
              <c:numCache>
                <c:formatCode>General</c:formatCode>
                <c:ptCount val="9"/>
                <c:pt idx="0">
                  <c:v>1.1255146793776927E-2</c:v>
                </c:pt>
                <c:pt idx="1">
                  <c:v>2.3031233582208044E-2</c:v>
                </c:pt>
                <c:pt idx="2">
                  <c:v>2.9999982684353554E-2</c:v>
                </c:pt>
                <c:pt idx="3">
                  <c:v>5.4999679387395917E-2</c:v>
                </c:pt>
                <c:pt idx="4">
                  <c:v>6.9106388683045639E-2</c:v>
                </c:pt>
                <c:pt idx="5">
                  <c:v>8.0000297418479249E-2</c:v>
                </c:pt>
                <c:pt idx="6">
                  <c:v>0.10000053798530417</c:v>
                </c:pt>
                <c:pt idx="7">
                  <c:v>0.12499993401278919</c:v>
                </c:pt>
                <c:pt idx="8">
                  <c:v>0.1450220177829844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'[2]EF risky assets'!$AA$73</c15:sqref>
                        </c15:formulaRef>
                      </c:ext>
                    </c:extLst>
                    <c:strCache>
                      <c:ptCount val="1"/>
                      <c:pt idx="0">
                        <c:v>Annualaverage return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42D9-AB45-8D74-8336D22DD8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2765599"/>
        <c:axId val="472767247"/>
      </c:scatterChart>
      <c:valAx>
        <c:axId val="47276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Standard Deviation p.a.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67247"/>
        <c:crosses val="autoZero"/>
        <c:crossBetween val="midCat"/>
      </c:valAx>
      <c:valAx>
        <c:axId val="47276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Expected return</a:t>
                </a:r>
                <a:r>
                  <a:rPr lang="en-GB" baseline="0"/>
                  <a:t> p.a.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6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</a:t>
            </a:r>
            <a:r>
              <a:rPr lang="en-GB" baseline="0"/>
              <a:t> frontier of risky assets</a:t>
            </a:r>
            <a:endParaRPr lang="en-GB"/>
          </a:p>
        </c:rich>
      </c:tx>
      <c:layout>
        <c:manualLayout>
          <c:xMode val="edge"/>
          <c:yMode val="edge"/>
          <c:x val="0.32374991865686209"/>
          <c:y val="2.50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GMV= min risk portfolio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ADA-FE4A-B4DC-F048DDD394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'Risky assets only'!$Z$75:$Z$82</c:f>
              <c:numCache>
                <c:formatCode>0.00%</c:formatCode>
                <c:ptCount val="8"/>
                <c:pt idx="0">
                  <c:v>4.0898696965075587E-2</c:v>
                </c:pt>
                <c:pt idx="1">
                  <c:v>4.1531170917698805E-2</c:v>
                </c:pt>
                <c:pt idx="2">
                  <c:v>5.5131887140209286E-2</c:v>
                </c:pt>
                <c:pt idx="3">
                  <c:v>6.9913521149213315E-2</c:v>
                </c:pt>
                <c:pt idx="4">
                  <c:v>8.3272981820615599E-2</c:v>
                </c:pt>
                <c:pt idx="5">
                  <c:v>0.10973933044503331</c:v>
                </c:pt>
                <c:pt idx="6">
                  <c:v>0.14413132126750616</c:v>
                </c:pt>
                <c:pt idx="7">
                  <c:v>0.17189025120253087</c:v>
                </c:pt>
              </c:numCache>
            </c:numRef>
          </c:xVal>
          <c:yVal>
            <c:numRef>
              <c:f>'Risky assets only'!$AA$75:$AA$82</c:f>
              <c:numCache>
                <c:formatCode>0.00%</c:formatCode>
                <c:ptCount val="8"/>
                <c:pt idx="0">
                  <c:v>2.3031233582208044E-2</c:v>
                </c:pt>
                <c:pt idx="1">
                  <c:v>2.9999982684353554E-2</c:v>
                </c:pt>
                <c:pt idx="2">
                  <c:v>5.4999679387395917E-2</c:v>
                </c:pt>
                <c:pt idx="3">
                  <c:v>6.9106388683045639E-2</c:v>
                </c:pt>
                <c:pt idx="4">
                  <c:v>8.0000297418479249E-2</c:v>
                </c:pt>
                <c:pt idx="5">
                  <c:v>0.10000053798530417</c:v>
                </c:pt>
                <c:pt idx="6">
                  <c:v>0.12499993401278919</c:v>
                </c:pt>
                <c:pt idx="7">
                  <c:v>0.1450220177829844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DA-FE4A-B4DC-F048DDD3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451136"/>
        <c:axId val="2011987616"/>
      </c:scatterChart>
      <c:valAx>
        <c:axId val="205245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Standard</a:t>
                </a:r>
                <a:r>
                  <a:rPr lang="en-GB" baseline="0"/>
                  <a:t> Deviation p.a.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87616"/>
        <c:crosses val="autoZero"/>
        <c:crossBetween val="midCat"/>
      </c:valAx>
      <c:valAx>
        <c:axId val="20119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Expected</a:t>
                </a:r>
                <a:r>
                  <a:rPr lang="en-GB" baseline="0"/>
                  <a:t> return p.a.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5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 frontier</a:t>
            </a:r>
            <a:r>
              <a:rPr lang="en-GB" baseline="0"/>
              <a:t> (EF) of risky assets</a:t>
            </a:r>
            <a:endParaRPr lang="en-GB"/>
          </a:p>
        </c:rich>
      </c:tx>
      <c:layout>
        <c:manualLayout>
          <c:xMode val="edge"/>
          <c:yMode val="edge"/>
          <c:x val="0.33782200537816209"/>
          <c:y val="3.44234079173838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82E-9741-9DFD-A4CE0C76EEA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Min return portfolio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82E-9741-9DFD-A4CE0C76EE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Minimum risk</a:t>
                    </a:r>
                    <a:r>
                      <a:rPr lang="en-US" baseline="0"/>
                      <a:t> portfolio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82E-9741-9DFD-A4CE0C76EEAC}"/>
                </c:ext>
              </c:extLst>
            </c:dLbl>
            <c:dLbl>
              <c:idx val="2"/>
              <c:layout>
                <c:manualLayout>
                  <c:x val="-6.1349693251534117E-3"/>
                  <c:y val="6.884681583476764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82E-9741-9DFD-A4CE0C76EEA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P4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82E-9741-9DFD-A4CE0C76EEAC}"/>
                </c:ext>
              </c:extLst>
            </c:dLbl>
            <c:dLbl>
              <c:idx val="4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Maximum Sharpe portfolio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0-F82E-9741-9DFD-A4CE0C76EEA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P6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82E-9741-9DFD-A4CE0C76EEA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P7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82E-9741-9DFD-A4CE0C76EEA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P8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82E-9741-9DFD-A4CE0C76EEA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Max return portfolio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82E-9741-9DFD-A4CE0C76E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'[2]EF risky assets'!$Z$74:$Z$82</c:f>
              <c:numCache>
                <c:formatCode>General</c:formatCode>
                <c:ptCount val="9"/>
                <c:pt idx="0">
                  <c:v>4.47941781818854E-2</c:v>
                </c:pt>
                <c:pt idx="1">
                  <c:v>4.0898696965075587E-2</c:v>
                </c:pt>
                <c:pt idx="2">
                  <c:v>4.1531170917698805E-2</c:v>
                </c:pt>
                <c:pt idx="3">
                  <c:v>5.5131887140209286E-2</c:v>
                </c:pt>
                <c:pt idx="4">
                  <c:v>6.9913521149213315E-2</c:v>
                </c:pt>
                <c:pt idx="5">
                  <c:v>8.3272981820615599E-2</c:v>
                </c:pt>
                <c:pt idx="6">
                  <c:v>0.10973933044503331</c:v>
                </c:pt>
                <c:pt idx="7">
                  <c:v>0.14413132126750616</c:v>
                </c:pt>
                <c:pt idx="8">
                  <c:v>0.17189025120253087</c:v>
                </c:pt>
              </c:numCache>
            </c:numRef>
          </c:xVal>
          <c:yVal>
            <c:numRef>
              <c:f>'[2]EF risky assets'!$AA$74:$AA$82</c:f>
              <c:numCache>
                <c:formatCode>General</c:formatCode>
                <c:ptCount val="9"/>
                <c:pt idx="0">
                  <c:v>1.1255146793776927E-2</c:v>
                </c:pt>
                <c:pt idx="1">
                  <c:v>2.3031233582208044E-2</c:v>
                </c:pt>
                <c:pt idx="2">
                  <c:v>2.9999982684353554E-2</c:v>
                </c:pt>
                <c:pt idx="3">
                  <c:v>5.4999679387395917E-2</c:v>
                </c:pt>
                <c:pt idx="4">
                  <c:v>6.9106388683045639E-2</c:v>
                </c:pt>
                <c:pt idx="5">
                  <c:v>8.0000297418479249E-2</c:v>
                </c:pt>
                <c:pt idx="6">
                  <c:v>0.10000053798530417</c:v>
                </c:pt>
                <c:pt idx="7">
                  <c:v>0.12499993401278919</c:v>
                </c:pt>
                <c:pt idx="8">
                  <c:v>0.1450220177829844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'[2]EF risky assets'!$AA$73</c15:sqref>
                        </c15:formulaRef>
                      </c:ext>
                    </c:extLst>
                    <c:strCache>
                      <c:ptCount val="1"/>
                      <c:pt idx="0">
                        <c:v>Annualaverage return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F82E-9741-9DFD-A4CE0C76EE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2765599"/>
        <c:axId val="472767247"/>
      </c:scatterChart>
      <c:valAx>
        <c:axId val="47276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Standard Deviation p.a.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67247"/>
        <c:crosses val="autoZero"/>
        <c:crossBetween val="midCat"/>
      </c:valAx>
      <c:valAx>
        <c:axId val="47276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Expected return</a:t>
                </a:r>
                <a:r>
                  <a:rPr lang="en-GB" baseline="0"/>
                  <a:t> p.a.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6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</a:t>
            </a:r>
            <a:r>
              <a:rPr lang="en-GB" baseline="0"/>
              <a:t> EF risky+risk free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'[2]EF risky plus risk free'!$AA$91</c:f>
              <c:strCache>
                <c:ptCount val="1"/>
                <c:pt idx="0">
                  <c:v>Annualised average 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C61-2743-BC19-64C5F05FF10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C61-2743-BC19-64C5F05FF10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C61-2743-BC19-64C5F05FF10E}"/>
              </c:ext>
            </c:extLst>
          </c:dPt>
          <c:dLbls>
            <c:dLbl>
              <c:idx val="0"/>
              <c:layout>
                <c:manualLayout>
                  <c:x val="-0.11424696190432844"/>
                  <c:y val="-1.6975112544026657E-1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Rf = 1.08%</a:t>
                    </a:r>
                    <a:r>
                      <a:rPr lang="en-US" baseline="0"/>
                      <a:t>,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C61-2743-BC19-64C5F05FF10E}"/>
                </c:ext>
              </c:extLst>
            </c:dLbl>
            <c:dLbl>
              <c:idx val="1"/>
              <c:layout>
                <c:manualLayout>
                  <c:x val="-6.1728395061728392E-3"/>
                  <c:y val="6.9444444444444448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Maximum Sharpe = Tangency portfolio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61-2743-BC19-64C5F05FF10E}"/>
                </c:ext>
              </c:extLst>
            </c:dLbl>
            <c:dLbl>
              <c:idx val="2"/>
              <c:layout>
                <c:manualLayout>
                  <c:x val="0"/>
                  <c:y val="9.722222222222222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Rf borrowing 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portfolio</a:t>
                    </a:r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6152"/>
                        <a:gd name="adj2" fmla="val 4559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377304688765756"/>
                      <c:h val="0.11673082531350248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AC61-2743-BC19-64C5F05FF10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'[2]EF risky plus risk free'!$Z$92:$Z$94</c:f>
              <c:numCache>
                <c:formatCode>General</c:formatCode>
                <c:ptCount val="3"/>
                <c:pt idx="0">
                  <c:v>0</c:v>
                </c:pt>
                <c:pt idx="1">
                  <c:v>6.9913521149213315E-2</c:v>
                </c:pt>
                <c:pt idx="2">
                  <c:v>0.18</c:v>
                </c:pt>
              </c:numCache>
            </c:numRef>
          </c:xVal>
          <c:yVal>
            <c:numRef>
              <c:f>'[2]EF risky plus risk free'!$AA$92:$AA$94</c:f>
              <c:numCache>
                <c:formatCode>General</c:formatCode>
                <c:ptCount val="3"/>
                <c:pt idx="0">
                  <c:v>1.0788406118340976E-2</c:v>
                </c:pt>
                <c:pt idx="1">
                  <c:v>6.9106388683045639E-2</c:v>
                </c:pt>
                <c:pt idx="2">
                  <c:v>0.1609344249298246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61-2743-BC19-64C5F05F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94927"/>
        <c:axId val="674596575"/>
      </c:scatterChart>
      <c:valAx>
        <c:axId val="67459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6575"/>
        <c:crosses val="autoZero"/>
        <c:crossBetween val="midCat"/>
      </c:valAx>
      <c:valAx>
        <c:axId val="6745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Expected</a:t>
                </a:r>
                <a:r>
                  <a:rPr lang="en-GB" baseline="0"/>
                  <a:t> return p.a.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</a:t>
            </a:r>
            <a:r>
              <a:rPr lang="en-GB" baseline="0"/>
              <a:t> EF risky+risk free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'[2]EF risky assets'!$Z$74:$Z$82</c:f>
              <c:numCache>
                <c:formatCode>General</c:formatCode>
                <c:ptCount val="9"/>
                <c:pt idx="0">
                  <c:v>4.47941781818854E-2</c:v>
                </c:pt>
                <c:pt idx="1">
                  <c:v>4.0898696965075587E-2</c:v>
                </c:pt>
                <c:pt idx="2">
                  <c:v>4.1531170917698805E-2</c:v>
                </c:pt>
                <c:pt idx="3">
                  <c:v>5.5131887140209286E-2</c:v>
                </c:pt>
                <c:pt idx="4">
                  <c:v>6.9913521149213315E-2</c:v>
                </c:pt>
                <c:pt idx="5">
                  <c:v>8.3272981820615599E-2</c:v>
                </c:pt>
                <c:pt idx="6">
                  <c:v>0.10973933044503331</c:v>
                </c:pt>
                <c:pt idx="7">
                  <c:v>0.14413132126750616</c:v>
                </c:pt>
                <c:pt idx="8">
                  <c:v>0.17189025120253087</c:v>
                </c:pt>
              </c:numCache>
            </c:numRef>
          </c:xVal>
          <c:yVal>
            <c:numRef>
              <c:f>'[2]EF risky assets'!$AA$74:$AA$82</c:f>
              <c:numCache>
                <c:formatCode>General</c:formatCode>
                <c:ptCount val="9"/>
                <c:pt idx="0">
                  <c:v>1.1255146793776927E-2</c:v>
                </c:pt>
                <c:pt idx="1">
                  <c:v>2.3031233582208044E-2</c:v>
                </c:pt>
                <c:pt idx="2">
                  <c:v>2.9999982684353554E-2</c:v>
                </c:pt>
                <c:pt idx="3">
                  <c:v>5.4999679387395917E-2</c:v>
                </c:pt>
                <c:pt idx="4">
                  <c:v>6.9106388683045639E-2</c:v>
                </c:pt>
                <c:pt idx="5">
                  <c:v>8.0000297418479249E-2</c:v>
                </c:pt>
                <c:pt idx="6">
                  <c:v>0.10000053798530417</c:v>
                </c:pt>
                <c:pt idx="7">
                  <c:v>0.12499993401278919</c:v>
                </c:pt>
                <c:pt idx="8">
                  <c:v>0.1450220177829844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'[2]EF risky assets'!$AA$73</c15:sqref>
                        </c15:formulaRef>
                      </c:ext>
                    </c:extLst>
                    <c:strCache>
                      <c:ptCount val="1"/>
                      <c:pt idx="0">
                        <c:v>Annualaverage return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B87-3246-97D7-B9C21657AA5A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'[2]EF risky plus risk free'!$Z$92:$Z$94</c:f>
              <c:numCache>
                <c:formatCode>General</c:formatCode>
                <c:ptCount val="3"/>
                <c:pt idx="0">
                  <c:v>0</c:v>
                </c:pt>
                <c:pt idx="1">
                  <c:v>6.9913521149213315E-2</c:v>
                </c:pt>
                <c:pt idx="2">
                  <c:v>0.18</c:v>
                </c:pt>
              </c:numCache>
            </c:numRef>
          </c:xVal>
          <c:yVal>
            <c:numRef>
              <c:f>'[2]EF risky plus risk free'!$AA$92:$AA$94</c:f>
              <c:numCache>
                <c:formatCode>General</c:formatCode>
                <c:ptCount val="3"/>
                <c:pt idx="0">
                  <c:v>1.0788406118340976E-2</c:v>
                </c:pt>
                <c:pt idx="1">
                  <c:v>6.9106388683045639E-2</c:v>
                </c:pt>
                <c:pt idx="2">
                  <c:v>0.1609344249298246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'[2]EF risky plus risk free'!$AA$91</c15:sqref>
                        </c15:formulaRef>
                      </c:ext>
                    </c:extLst>
                    <c:strCache>
                      <c:ptCount val="1"/>
                      <c:pt idx="0">
                        <c:v>Annualised average return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B87-3246-97D7-B9C21657AA5A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B87-3246-97D7-B9C21657AA5A}"/>
              </c:ext>
            </c:extLst>
          </c:dPt>
          <c:dPt>
            <c:idx val="1"/>
            <c:marker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B87-3246-97D7-B9C21657AA5A}"/>
              </c:ext>
            </c:extLst>
          </c:dPt>
          <c:dPt>
            <c:idx val="2"/>
            <c:marker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B87-3246-97D7-B9C21657AA5A}"/>
              </c:ext>
            </c:extLst>
          </c:dPt>
          <c:dLbls>
            <c:dLbl>
              <c:idx val="0"/>
              <c:layout>
                <c:manualLayout>
                  <c:x val="-0.11424696190432844"/>
                  <c:y val="-1.6975112544026657E-1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Rf = 1.08%</a:t>
                    </a:r>
                    <a:r>
                      <a:rPr lang="en-US" baseline="0"/>
                      <a:t>,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B87-3246-97D7-B9C21657AA5A}"/>
                </c:ext>
              </c:extLst>
            </c:dLbl>
            <c:dLbl>
              <c:idx val="1"/>
              <c:layout>
                <c:manualLayout>
                  <c:x val="-2.0828301370304173E-3"/>
                  <c:y val="5.5675118923387591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Maximum Sharpe = Tangency portfolio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B87-3246-97D7-B9C21657AA5A}"/>
                </c:ext>
              </c:extLst>
            </c:dLbl>
            <c:dLbl>
              <c:idx val="2"/>
              <c:layout>
                <c:manualLayout>
                  <c:x val="4.2266938854865366E-3"/>
                  <c:y val="-4.6296296296296294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Rf borrowing 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portfolio</a:t>
                    </a:r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6152"/>
                        <a:gd name="adj2" fmla="val 45599"/>
                      </a:avLst>
                    </a:prstGeom>
                  </c15:spPr>
                  <c15:layout>
                    <c:manualLayout>
                      <c:w val="0.12377304688765756"/>
                      <c:h val="0.11673082531350248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4-BB87-3246-97D7-B9C21657AA5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'[2]EF risky plus risk free'!$Z$92:$Z$94</c:f>
              <c:numCache>
                <c:formatCode>General</c:formatCode>
                <c:ptCount val="3"/>
                <c:pt idx="0">
                  <c:v>0</c:v>
                </c:pt>
                <c:pt idx="1">
                  <c:v>6.9913521149213315E-2</c:v>
                </c:pt>
                <c:pt idx="2">
                  <c:v>0.18</c:v>
                </c:pt>
              </c:numCache>
            </c:numRef>
          </c:xVal>
          <c:yVal>
            <c:numRef>
              <c:f>'[2]EF risky plus risk free'!$AA$92:$AA$94</c:f>
              <c:numCache>
                <c:formatCode>General</c:formatCode>
                <c:ptCount val="3"/>
                <c:pt idx="0">
                  <c:v>1.0788406118340976E-2</c:v>
                </c:pt>
                <c:pt idx="1">
                  <c:v>6.9106388683045639E-2</c:v>
                </c:pt>
                <c:pt idx="2">
                  <c:v>0.1609344249298246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'[2]EF risky plus risk free'!$AA$91</c15:sqref>
                        </c15:formulaRef>
                      </c:ext>
                    </c:extLst>
                    <c:strCache>
                      <c:ptCount val="1"/>
                      <c:pt idx="0">
                        <c:v>Annualised average return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BB87-3246-97D7-B9C21657A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94927"/>
        <c:axId val="674596575"/>
      </c:scatterChart>
      <c:valAx>
        <c:axId val="67459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6575"/>
        <c:crosses val="autoZero"/>
        <c:crossBetween val="midCat"/>
      </c:valAx>
      <c:valAx>
        <c:axId val="6745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Expected</a:t>
                </a:r>
                <a:r>
                  <a:rPr lang="en-GB" baseline="0"/>
                  <a:t> return p.a.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4927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609600</xdr:colOff>
      <xdr:row>70</xdr:row>
      <xdr:rowOff>19050</xdr:rowOff>
    </xdr:from>
    <xdr:to>
      <xdr:col>34</xdr:col>
      <xdr:colOff>660400</xdr:colOff>
      <xdr:row>88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9B1A9-44D3-034D-94DC-DB54FB72A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12700</xdr:colOff>
      <xdr:row>0</xdr:row>
      <xdr:rowOff>88900</xdr:rowOff>
    </xdr:from>
    <xdr:to>
      <xdr:col>18</xdr:col>
      <xdr:colOff>393700</xdr:colOff>
      <xdr:row>4</xdr:row>
      <xdr:rowOff>98576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E3AA5-19C0-8743-AC19-506615C39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88900"/>
          <a:ext cx="2374900" cy="822476"/>
        </a:xfrm>
        <a:prstGeom prst="rect">
          <a:avLst/>
        </a:prstGeom>
      </xdr:spPr>
    </xdr:pic>
    <xdr:clientData/>
  </xdr:twoCellAnchor>
  <xdr:twoCellAnchor editAs="oneCell">
    <xdr:from>
      <xdr:col>25</xdr:col>
      <xdr:colOff>88900</xdr:colOff>
      <xdr:row>37</xdr:row>
      <xdr:rowOff>114300</xdr:rowOff>
    </xdr:from>
    <xdr:to>
      <xdr:col>27</xdr:col>
      <xdr:colOff>165100</xdr:colOff>
      <xdr:row>41</xdr:row>
      <xdr:rowOff>43301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387F45-28B5-0645-9ADE-CFD12FA5E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86500" y="7721600"/>
          <a:ext cx="3530600" cy="741801"/>
        </a:xfrm>
        <a:prstGeom prst="rect">
          <a:avLst/>
        </a:prstGeom>
      </xdr:spPr>
    </xdr:pic>
    <xdr:clientData/>
  </xdr:twoCellAnchor>
  <xdr:twoCellAnchor>
    <xdr:from>
      <xdr:col>34</xdr:col>
      <xdr:colOff>723900</xdr:colOff>
      <xdr:row>70</xdr:row>
      <xdr:rowOff>25400</xdr:rowOff>
    </xdr:from>
    <xdr:to>
      <xdr:col>43</xdr:col>
      <xdr:colOff>495300</xdr:colOff>
      <xdr:row>88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D4BEDF-F797-314F-B2CD-3BB6122DC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304801</xdr:colOff>
      <xdr:row>3</xdr:row>
      <xdr:rowOff>127000</xdr:rowOff>
    </xdr:from>
    <xdr:to>
      <xdr:col>32</xdr:col>
      <xdr:colOff>689869</xdr:colOff>
      <xdr:row>14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98F667-19B3-4646-8406-8661CD264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707601" y="736600"/>
          <a:ext cx="4334768" cy="237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558800</xdr:colOff>
      <xdr:row>68</xdr:row>
      <xdr:rowOff>133350</xdr:rowOff>
    </xdr:from>
    <xdr:to>
      <xdr:col>34</xdr:col>
      <xdr:colOff>609600</xdr:colOff>
      <xdr:row>86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0AF13-7DAE-AD41-8064-EE2782775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635000</xdr:colOff>
      <xdr:row>88</xdr:row>
      <xdr:rowOff>107950</xdr:rowOff>
    </xdr:from>
    <xdr:to>
      <xdr:col>35</xdr:col>
      <xdr:colOff>254000</xdr:colOff>
      <xdr:row>102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E40494-F14D-B644-B67C-30725F729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876300</xdr:colOff>
      <xdr:row>103</xdr:row>
      <xdr:rowOff>127000</xdr:rowOff>
    </xdr:from>
    <xdr:to>
      <xdr:col>35</xdr:col>
      <xdr:colOff>114300</xdr:colOff>
      <xdr:row>121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487BB-21BD-5B43-9F40-5ECF8D336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0</xdr:row>
      <xdr:rowOff>114300</xdr:rowOff>
    </xdr:from>
    <xdr:to>
      <xdr:col>18</xdr:col>
      <xdr:colOff>381000</xdr:colOff>
      <xdr:row>4</xdr:row>
      <xdr:rowOff>123976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685301-114D-BE4F-9F57-F51F443EF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28400" y="114300"/>
          <a:ext cx="2374900" cy="822476"/>
        </a:xfrm>
        <a:prstGeom prst="rect">
          <a:avLst/>
        </a:prstGeom>
      </xdr:spPr>
    </xdr:pic>
    <xdr:clientData/>
  </xdr:twoCellAnchor>
  <xdr:twoCellAnchor editAs="oneCell">
    <xdr:from>
      <xdr:col>25</xdr:col>
      <xdr:colOff>63500</xdr:colOff>
      <xdr:row>37</xdr:row>
      <xdr:rowOff>152400</xdr:rowOff>
    </xdr:from>
    <xdr:to>
      <xdr:col>27</xdr:col>
      <xdr:colOff>38100</xdr:colOff>
      <xdr:row>41</xdr:row>
      <xdr:rowOff>60055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03A452-F832-EA4E-A18D-EA497358F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86500" y="7759700"/>
          <a:ext cx="3429000" cy="720455"/>
        </a:xfrm>
        <a:prstGeom prst="rect">
          <a:avLst/>
        </a:prstGeom>
      </xdr:spPr>
    </xdr:pic>
    <xdr:clientData/>
  </xdr:twoCellAnchor>
  <xdr:twoCellAnchor>
    <xdr:from>
      <xdr:col>30</xdr:col>
      <xdr:colOff>440007</xdr:colOff>
      <xdr:row>55</xdr:row>
      <xdr:rowOff>143833</xdr:rowOff>
    </xdr:from>
    <xdr:to>
      <xdr:col>31</xdr:col>
      <xdr:colOff>736600</xdr:colOff>
      <xdr:row>60</xdr:row>
      <xdr:rowOff>50800</xdr:rowOff>
    </xdr:to>
    <xdr:sp macro="" textlink="">
      <xdr:nvSpPr>
        <xdr:cNvPr id="10" name="Rounded Rectangular Callout 9">
          <a:extLst>
            <a:ext uri="{FF2B5EF4-FFF2-40B4-BE49-F238E27FC236}">
              <a16:creationId xmlns:a16="http://schemas.microsoft.com/office/drawing/2014/main" id="{DFB7401F-BC26-8B4E-935D-67F05F09BA19}"/>
            </a:ext>
          </a:extLst>
        </xdr:cNvPr>
        <xdr:cNvSpPr/>
      </xdr:nvSpPr>
      <xdr:spPr>
        <a:xfrm>
          <a:off x="25344707" y="11357933"/>
          <a:ext cx="995093" cy="922967"/>
        </a:xfrm>
        <a:prstGeom prst="wedgeRoundRectCallout">
          <a:avLst>
            <a:gd name="adj1" fmla="val -90821"/>
            <a:gd name="adj2" fmla="val -29312"/>
            <a:gd name="adj3" fmla="val 16667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 b="1" u="none">
              <a:solidFill>
                <a:srgbClr val="FF0000"/>
              </a:solidFill>
            </a:rPr>
            <a:t>Sharpe ratio:</a:t>
          </a:r>
        </a:p>
        <a:p>
          <a:pPr algn="ctr"/>
          <a:r>
            <a:rPr lang="en-GB" sz="1200" b="1" u="sng"/>
            <a:t>E(Rp)-rf</a:t>
          </a:r>
          <a:r>
            <a:rPr lang="en-GB" sz="1200" b="1" u="none" baseline="0"/>
            <a:t>    </a:t>
          </a:r>
          <a:r>
            <a:rPr lang="en-GB" sz="1200" b="1"/>
            <a:t>𝝈p</a:t>
          </a:r>
        </a:p>
      </xdr:txBody>
    </xdr:sp>
    <xdr:clientData/>
  </xdr:twoCellAnchor>
  <xdr:twoCellAnchor editAs="oneCell">
    <xdr:from>
      <xdr:col>25</xdr:col>
      <xdr:colOff>634999</xdr:colOff>
      <xdr:row>87</xdr:row>
      <xdr:rowOff>0</xdr:rowOff>
    </xdr:from>
    <xdr:to>
      <xdr:col>27</xdr:col>
      <xdr:colOff>0</xdr:colOff>
      <xdr:row>89</xdr:row>
      <xdr:rowOff>169333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4D7DA8-9277-0B4E-B29A-2B0B05AAE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42666" y="17600083"/>
          <a:ext cx="2868084" cy="571500"/>
        </a:xfrm>
        <a:prstGeom prst="rect">
          <a:avLst/>
        </a:prstGeom>
        <a:solidFill>
          <a:srgbClr val="FFFF00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B-Milken%20programme/Lectures/Lecture%202%20-%20Diversification%20and%20portfolios%20of%20risky%20assets/MVO%20US%20equity%20bonds%20real%20estate-Lecture%202&amp;3_with%20matrix%20algeb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B-Milken%20programme/Lectures/Lecture%202%20-%20Diversification%20and%20portfolios%20of%20risky%20assets/MVO%20US%20equity,%20bonds,%20real%20estate-Lecture%202&amp;3_final%20to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9">
          <cell r="D9">
            <v>3.0612E-3</v>
          </cell>
          <cell r="E9">
            <v>-1.2722000000000001E-2</v>
          </cell>
          <cell r="F9">
            <v>1.0827E-2</v>
          </cell>
          <cell r="G9">
            <v>1.064E-2</v>
          </cell>
          <cell r="H9">
            <v>6.9742000000000007E-3</v>
          </cell>
          <cell r="I9">
            <v>-4.1117999999999997E-3</v>
          </cell>
        </row>
        <row r="10">
          <cell r="D10">
            <v>2.0628199999999999E-2</v>
          </cell>
          <cell r="E10">
            <v>6.2408999999999999E-2</v>
          </cell>
          <cell r="F10">
            <v>-8.575000000000001E-3</v>
          </cell>
          <cell r="G10">
            <v>-6.4073000000000003E-3</v>
          </cell>
          <cell r="H10">
            <v>-3.8100000000000005E-4</v>
          </cell>
          <cell r="I10">
            <v>1.0904E-3</v>
          </cell>
        </row>
        <row r="11">
          <cell r="D11">
            <v>2.3335400000000003E-2</v>
          </cell>
          <cell r="E11">
            <v>8.5243000000000003E-3</v>
          </cell>
          <cell r="F11">
            <v>-1.2101E-3</v>
          </cell>
          <cell r="G11">
            <v>2.1390999999999997E-3</v>
          </cell>
          <cell r="H11">
            <v>4.0051999999999996E-3</v>
          </cell>
          <cell r="I11">
            <v>-1.1108199999999999E-2</v>
          </cell>
        </row>
        <row r="12">
          <cell r="D12">
            <v>3.0669800000000001E-2</v>
          </cell>
          <cell r="E12">
            <v>2.8819400000000002E-2</v>
          </cell>
          <cell r="F12">
            <v>-1.3744E-3</v>
          </cell>
          <cell r="G12">
            <v>1.2975999999999999E-3</v>
          </cell>
          <cell r="H12">
            <v>-1.6164E-3</v>
          </cell>
          <cell r="I12">
            <v>2.6964000000000002E-2</v>
          </cell>
        </row>
        <row r="13">
          <cell r="D13">
            <v>1.1118699999999999E-2</v>
          </cell>
          <cell r="E13">
            <v>-4.0360999999999999E-3</v>
          </cell>
          <cell r="F13">
            <v>3.0908000000000003E-3</v>
          </cell>
          <cell r="G13">
            <v>9.1549999999999999E-3</v>
          </cell>
          <cell r="H13">
            <v>7.5915000000000002E-3</v>
          </cell>
          <cell r="I13">
            <v>-1.5758E-3</v>
          </cell>
        </row>
        <row r="14">
          <cell r="D14">
            <v>5.7253999999999999E-2</v>
          </cell>
          <cell r="E14">
            <v>2.6134300000000003E-2</v>
          </cell>
          <cell r="F14">
            <v>-1.35891E-2</v>
          </cell>
          <cell r="G14">
            <v>-8.5746999999999993E-3</v>
          </cell>
          <cell r="H14">
            <v>-6.6296999999999997E-3</v>
          </cell>
          <cell r="I14">
            <v>-4.3163900000000005E-2</v>
          </cell>
        </row>
        <row r="15">
          <cell r="D15">
            <v>-3.6857099999999997E-2</v>
          </cell>
          <cell r="E15">
            <v>-3.8721699999999998E-2</v>
          </cell>
          <cell r="F15">
            <v>-7.5326000000000004E-3</v>
          </cell>
          <cell r="G15">
            <v>-9.7184000000000003E-3</v>
          </cell>
          <cell r="H15">
            <v>-1.4009899999999999E-2</v>
          </cell>
          <cell r="I15">
            <v>-7.397999999999999E-2</v>
          </cell>
        </row>
        <row r="16">
          <cell r="D16">
            <v>-2.54133E-2</v>
          </cell>
          <cell r="E16">
            <v>1.2933699999999999E-2</v>
          </cell>
          <cell r="F16">
            <v>9.4313000000000001E-3</v>
          </cell>
          <cell r="G16">
            <v>1.0504299999999999E-2</v>
          </cell>
          <cell r="H16">
            <v>7.4229999999999999E-4</v>
          </cell>
          <cell r="I16">
            <v>3.8473300000000002E-2</v>
          </cell>
        </row>
        <row r="17">
          <cell r="D17">
            <v>3.8371E-3</v>
          </cell>
          <cell r="E17">
            <v>8.6453999999999993E-3</v>
          </cell>
          <cell r="F17">
            <v>-8.0978000000000005E-3</v>
          </cell>
          <cell r="G17">
            <v>-5.7379999999999996E-4</v>
          </cell>
          <cell r="H17">
            <v>-6.0106000000000005E-3</v>
          </cell>
          <cell r="I17">
            <v>1.4664900000000002E-2</v>
          </cell>
        </row>
        <row r="18">
          <cell r="D18">
            <v>2.4081999999999999E-2</v>
          </cell>
          <cell r="E18">
            <v>6.07006E-2</v>
          </cell>
          <cell r="F18">
            <v>8.9779999999999999E-3</v>
          </cell>
          <cell r="G18">
            <v>4.2630000000000003E-3</v>
          </cell>
          <cell r="H18">
            <v>3.7255999999999999E-3</v>
          </cell>
          <cell r="I18">
            <v>4.2378200000000005E-2</v>
          </cell>
        </row>
        <row r="19">
          <cell r="D19">
            <v>6.1548999999999996E-3</v>
          </cell>
          <cell r="E19">
            <v>7.1657000000000005E-3</v>
          </cell>
          <cell r="F19">
            <v>2.041E-4</v>
          </cell>
          <cell r="G19">
            <v>4.0116000000000006E-3</v>
          </cell>
          <cell r="H19">
            <v>-3.9359E-3</v>
          </cell>
          <cell r="I19">
            <v>4.2511E-2</v>
          </cell>
        </row>
        <row r="20">
          <cell r="D20">
            <v>3.7213599999999999E-2</v>
          </cell>
          <cell r="E20">
            <v>1.74285E-2</v>
          </cell>
          <cell r="F20">
            <v>-4.1825000000000005E-3</v>
          </cell>
          <cell r="G20">
            <v>-4.8110999999999996E-3</v>
          </cell>
          <cell r="H20">
            <v>8.0283999999999998E-3</v>
          </cell>
          <cell r="I20">
            <v>6.8372999999999993E-3</v>
          </cell>
        </row>
        <row r="21">
          <cell r="D21">
            <v>3.2585299999999998E-2</v>
          </cell>
          <cell r="E21">
            <v>4.3109900000000007E-2</v>
          </cell>
          <cell r="F21">
            <v>7.6483999999999996E-3</v>
          </cell>
          <cell r="G21">
            <v>7.2026E-3</v>
          </cell>
          <cell r="H21">
            <v>5.7345E-3</v>
          </cell>
          <cell r="I21">
            <v>3.14276E-2</v>
          </cell>
        </row>
        <row r="22">
          <cell r="D22">
            <v>5.6918999999999997E-3</v>
          </cell>
          <cell r="E22">
            <v>-2.4052199999999999E-2</v>
          </cell>
          <cell r="F22">
            <v>-9.3359000000000011E-3</v>
          </cell>
          <cell r="G22">
            <v>-1.05308E-2</v>
          </cell>
          <cell r="H22">
            <v>-1.7788000000000001E-3</v>
          </cell>
          <cell r="I22">
            <v>-2.7295600000000003E-2</v>
          </cell>
        </row>
        <row r="23">
          <cell r="D23">
            <v>-6.83502E-2</v>
          </cell>
          <cell r="E23">
            <v>-0.1086164</v>
          </cell>
          <cell r="F23">
            <v>-4.7768999999999997E-3</v>
          </cell>
          <cell r="G23">
            <v>-1.43333E-2</v>
          </cell>
          <cell r="H23">
            <v>-1.39773E-2</v>
          </cell>
          <cell r="I23">
            <v>-2.6007500000000003E-2</v>
          </cell>
        </row>
        <row r="24">
          <cell r="D24">
            <v>2.0378400000000001E-2</v>
          </cell>
          <cell r="E24">
            <v>1.58949E-2</v>
          </cell>
          <cell r="F24">
            <v>8.8766000000000001E-3</v>
          </cell>
          <cell r="G24">
            <v>4.7774000000000002E-3</v>
          </cell>
          <cell r="H24">
            <v>-3.0606000000000001E-3</v>
          </cell>
          <cell r="I24">
            <v>4.7991300000000001E-2</v>
          </cell>
        </row>
        <row r="25">
          <cell r="D25">
            <v>-9.0290900000000007E-2</v>
          </cell>
          <cell r="E25">
            <v>-0.118786</v>
          </cell>
          <cell r="F25">
            <v>2.15143E-2</v>
          </cell>
          <cell r="G25">
            <v>5.4645999999999991E-3</v>
          </cell>
          <cell r="H25">
            <v>9.1871999999999995E-3</v>
          </cell>
          <cell r="I25">
            <v>-8.1551100000000001E-2</v>
          </cell>
        </row>
        <row r="26">
          <cell r="D26">
            <v>8.0135799999999993E-2</v>
          </cell>
          <cell r="E26">
            <v>0.1124985</v>
          </cell>
          <cell r="F26">
            <v>4.7052999999999999E-3</v>
          </cell>
          <cell r="G26">
            <v>1.3453E-2</v>
          </cell>
          <cell r="H26">
            <v>2.47566E-2</v>
          </cell>
          <cell r="I26">
            <v>0.1178361</v>
          </cell>
        </row>
        <row r="27">
          <cell r="D27">
            <v>3.2108200000000003E-2</v>
          </cell>
          <cell r="E27">
            <v>5.1987800000000001E-2</v>
          </cell>
          <cell r="F27">
            <v>-2.7087000000000001E-3</v>
          </cell>
          <cell r="G27">
            <v>-1.3019999999999999E-4</v>
          </cell>
          <cell r="H27">
            <v>5.6352999999999993E-3</v>
          </cell>
          <cell r="I27">
            <v>4.2715000000000001E-3</v>
          </cell>
        </row>
        <row r="28">
          <cell r="D28">
            <v>1.94317E-2</v>
          </cell>
          <cell r="E28">
            <v>-2.0929299999999998E-2</v>
          </cell>
          <cell r="F28">
            <v>1.9091400000000001E-2</v>
          </cell>
          <cell r="G28">
            <v>1.8380899999999999E-2</v>
          </cell>
          <cell r="H28">
            <v>2.25582E-2</v>
          </cell>
          <cell r="I28">
            <v>3.1322500000000003E-2</v>
          </cell>
        </row>
        <row r="29">
          <cell r="D29">
            <v>4.0489699999999997E-2</v>
          </cell>
          <cell r="E29">
            <v>3.3970600000000004E-2</v>
          </cell>
          <cell r="F29">
            <v>-2.7764999999999999E-3</v>
          </cell>
          <cell r="G29">
            <v>3.3243999999999999E-3</v>
          </cell>
          <cell r="H29">
            <v>6.8454000000000006E-3</v>
          </cell>
          <cell r="I29">
            <v>-2.8077999999999996E-3</v>
          </cell>
        </row>
        <row r="30">
          <cell r="D30">
            <v>-6.3548199999999999E-2</v>
          </cell>
          <cell r="E30">
            <v>-7.77727E-2</v>
          </cell>
          <cell r="F30">
            <v>2.35018E-2</v>
          </cell>
          <cell r="G30">
            <v>1.6522499999999999E-2</v>
          </cell>
          <cell r="H30">
            <v>1.02813E-2</v>
          </cell>
          <cell r="I30">
            <v>-6.1269999999999999E-4</v>
          </cell>
        </row>
        <row r="31">
          <cell r="D31">
            <v>7.0476299999999992E-2</v>
          </cell>
          <cell r="E31">
            <v>7.0677299999999998E-2</v>
          </cell>
          <cell r="F31">
            <v>9.2269999999999991E-3</v>
          </cell>
          <cell r="G31">
            <v>8.5745000000000005E-3</v>
          </cell>
          <cell r="H31">
            <v>2.3220399999999999E-2</v>
          </cell>
          <cell r="I31">
            <v>1.2583E-2</v>
          </cell>
        </row>
        <row r="32">
          <cell r="D32">
            <v>1.43721E-2</v>
          </cell>
          <cell r="E32">
            <v>5.7572999999999999E-3</v>
          </cell>
          <cell r="F32">
            <v>-1.1754000000000001E-3</v>
          </cell>
          <cell r="G32">
            <v>3.5537000000000003E-3</v>
          </cell>
          <cell r="H32">
            <v>6.3441000000000001E-3</v>
          </cell>
          <cell r="I32">
            <v>1.3878699999999999E-2</v>
          </cell>
        </row>
        <row r="33">
          <cell r="D33">
            <v>-1.5840300000000002E-2</v>
          </cell>
          <cell r="E33">
            <v>-4.9374200000000007E-2</v>
          </cell>
          <cell r="F33">
            <v>3.3994099999999999E-2</v>
          </cell>
          <cell r="G33">
            <v>2.3798499999999997E-2</v>
          </cell>
          <cell r="H33">
            <v>2.6517499999999999E-2</v>
          </cell>
          <cell r="I33">
            <v>3.0211399999999999E-2</v>
          </cell>
        </row>
        <row r="34">
          <cell r="D34">
            <v>1.8710400000000002E-2</v>
          </cell>
          <cell r="E34">
            <v>2.0806499999999999E-2</v>
          </cell>
          <cell r="F34">
            <v>-8.4583999999999996E-3</v>
          </cell>
          <cell r="G34">
            <v>-1.3612299999999999E-2</v>
          </cell>
          <cell r="H34">
            <v>-4.8614000000000001E-3</v>
          </cell>
          <cell r="I34">
            <v>2.83343E-2</v>
          </cell>
        </row>
        <row r="35">
          <cell r="D35">
            <v>2.16597E-2</v>
          </cell>
          <cell r="E35">
            <v>2.63363E-2</v>
          </cell>
          <cell r="F35">
            <v>6.8150000000000003E-4</v>
          </cell>
          <cell r="G35">
            <v>2.5573000000000002E-3</v>
          </cell>
          <cell r="H35">
            <v>5.5798000000000002E-3</v>
          </cell>
          <cell r="I35">
            <v>1.3644700000000001E-2</v>
          </cell>
        </row>
        <row r="36">
          <cell r="D36">
            <v>3.6298900000000002E-2</v>
          </cell>
          <cell r="E36">
            <v>4.1164800000000001E-2</v>
          </cell>
          <cell r="F36">
            <v>-3.0080000000000003E-3</v>
          </cell>
          <cell r="G36">
            <v>1.5249999999999999E-3</v>
          </cell>
          <cell r="H36">
            <v>2.2450999999999999E-3</v>
          </cell>
          <cell r="I36">
            <v>-1.5051799999999999E-2</v>
          </cell>
        </row>
        <row r="37">
          <cell r="D37">
            <v>3.0182E-2</v>
          </cell>
          <cell r="E37">
            <v>2.8834499999999999E-2</v>
          </cell>
          <cell r="F37">
            <v>-5.6130999999999993E-3</v>
          </cell>
          <cell r="G37">
            <v>3.7913000000000001E-3</v>
          </cell>
          <cell r="H37">
            <v>5.6713000000000006E-3</v>
          </cell>
          <cell r="I37">
            <v>-6.2595999999999997E-3</v>
          </cell>
        </row>
        <row r="38">
          <cell r="D38">
            <v>-3.9210000000000004E-4</v>
          </cell>
          <cell r="E38">
            <v>-3.2071500000000003E-2</v>
          </cell>
          <cell r="F38">
            <v>2.44382E-2</v>
          </cell>
          <cell r="G38">
            <v>2.09967E-2</v>
          </cell>
          <cell r="H38">
            <v>2.0312399999999998E-2</v>
          </cell>
          <cell r="I38">
            <v>1.1291000000000001E-2</v>
          </cell>
        </row>
        <row r="39">
          <cell r="D39">
            <v>-8.2319200000000009E-2</v>
          </cell>
          <cell r="E39">
            <v>-8.4182199999999999E-2</v>
          </cell>
          <cell r="F39">
            <v>2.6505399999999998E-2</v>
          </cell>
          <cell r="G39">
            <v>1.3840600000000002E-2</v>
          </cell>
          <cell r="H39">
            <v>8.8783000000000004E-3</v>
          </cell>
          <cell r="I39">
            <v>-7.9273700000000002E-2</v>
          </cell>
        </row>
        <row r="40">
          <cell r="D40">
            <v>-0.12351290000000001</v>
          </cell>
          <cell r="E40">
            <v>-0.21726479999999998</v>
          </cell>
          <cell r="F40">
            <v>2.8923199999999996E-2</v>
          </cell>
          <cell r="G40">
            <v>-1.7581199999999998E-2</v>
          </cell>
          <cell r="H40">
            <v>-8.0808199999999997E-2</v>
          </cell>
          <cell r="I40">
            <v>-0.21714420000000001</v>
          </cell>
        </row>
        <row r="41">
          <cell r="D41">
            <v>0.1281938</v>
          </cell>
          <cell r="E41">
            <v>0.13735429999999998</v>
          </cell>
          <cell r="F41">
            <v>6.3600000000000002E-3</v>
          </cell>
          <cell r="G41">
            <v>2.7815599999999999E-2</v>
          </cell>
          <cell r="H41">
            <v>5.0748100000000004E-2</v>
          </cell>
          <cell r="I41">
            <v>8.2169000000000006E-2</v>
          </cell>
        </row>
        <row r="42">
          <cell r="D42">
            <v>4.76281E-2</v>
          </cell>
          <cell r="E42">
            <v>6.5074699999999999E-2</v>
          </cell>
          <cell r="F42">
            <v>-2.5344E-3</v>
          </cell>
          <cell r="G42">
            <v>3.0048000000000002E-3</v>
          </cell>
          <cell r="H42">
            <v>2.13974E-2</v>
          </cell>
          <cell r="I42">
            <v>1.6012999999999999E-3</v>
          </cell>
        </row>
        <row r="43">
          <cell r="D43">
            <v>1.9887200000000001E-2</v>
          </cell>
          <cell r="E43">
            <v>3.5347499999999997E-2</v>
          </cell>
          <cell r="F43">
            <v>9.3789999999999998E-4</v>
          </cell>
          <cell r="G43">
            <v>1.1162499999999999E-2</v>
          </cell>
          <cell r="H43">
            <v>1.8687200000000001E-2</v>
          </cell>
          <cell r="I43">
            <v>3.03988E-2</v>
          </cell>
        </row>
        <row r="44">
          <cell r="D44">
            <v>5.63851E-2</v>
          </cell>
          <cell r="E44">
            <v>2.7678299999999999E-2</v>
          </cell>
          <cell r="F44">
            <v>1.14263E-2</v>
          </cell>
          <cell r="G44">
            <v>2.2977500000000001E-2</v>
          </cell>
          <cell r="H44">
            <v>3.3825000000000001E-2</v>
          </cell>
          <cell r="I44">
            <v>4.1199599999999996E-2</v>
          </cell>
        </row>
        <row r="45">
          <cell r="D45">
            <v>7.18805E-2</v>
          </cell>
          <cell r="E45">
            <v>5.6343400000000002E-2</v>
          </cell>
          <cell r="F45">
            <v>-1.0953599999999999E-2</v>
          </cell>
          <cell r="G45">
            <v>1.09246E-2</v>
          </cell>
          <cell r="H45">
            <v>-8.4542000000000003E-3</v>
          </cell>
          <cell r="I45">
            <v>7.8715E-3</v>
          </cell>
        </row>
        <row r="46">
          <cell r="D46">
            <v>-3.7996700000000001E-2</v>
          </cell>
          <cell r="E46">
            <v>-3.3403299999999997E-2</v>
          </cell>
          <cell r="F46">
            <v>1.3886E-3</v>
          </cell>
          <cell r="G46">
            <v>-3.6875999999999996E-3</v>
          </cell>
          <cell r="H46">
            <v>-3.8005999999999999E-3</v>
          </cell>
          <cell r="I46">
            <v>-3.1959800000000003E-2</v>
          </cell>
        </row>
        <row r="47">
          <cell r="D47">
            <v>-2.6593800000000001E-2</v>
          </cell>
          <cell r="E47">
            <v>2.0943900000000001E-2</v>
          </cell>
          <cell r="F47">
            <v>-9.4293999999999992E-3</v>
          </cell>
          <cell r="G47">
            <v>-6.4583999999999996E-3</v>
          </cell>
          <cell r="H47">
            <v>-7.6869999999999998E-4</v>
          </cell>
          <cell r="I47">
            <v>-2.5039799999999997E-2</v>
          </cell>
        </row>
        <row r="48">
          <cell r="D48">
            <v>0.10946400000000001</v>
          </cell>
          <cell r="E48">
            <v>0.18432480000000001</v>
          </cell>
          <cell r="F48">
            <v>3.4813000000000001E-3</v>
          </cell>
          <cell r="G48">
            <v>1.12131E-2</v>
          </cell>
          <cell r="H48">
            <v>2.8641299999999998E-2</v>
          </cell>
          <cell r="I48">
            <v>0.10790079999999999</v>
          </cell>
        </row>
        <row r="49">
          <cell r="D49">
            <v>3.8448200000000002E-2</v>
          </cell>
          <cell r="E49">
            <v>8.6500400000000005E-2</v>
          </cell>
          <cell r="F49">
            <v>-2.3166999999999997E-3</v>
          </cell>
          <cell r="G49">
            <v>1.1472100000000001E-2</v>
          </cell>
          <cell r="H49">
            <v>7.0279000000000001E-3</v>
          </cell>
          <cell r="I49">
            <v>3.4319999999999996E-2</v>
          </cell>
        </row>
        <row r="50">
          <cell r="D50">
            <v>-1.0095799999999999E-2</v>
          </cell>
          <cell r="E50">
            <v>5.03223E-2</v>
          </cell>
          <cell r="F50">
            <v>-9.5645999999999995E-3</v>
          </cell>
          <cell r="G50">
            <v>3.3068999999999998E-3</v>
          </cell>
          <cell r="H50">
            <v>-9.747200000000001E-3</v>
          </cell>
          <cell r="I50">
            <v>1.7868000000000001E-3</v>
          </cell>
        </row>
        <row r="51">
          <cell r="D51">
            <v>2.7574900000000003E-2</v>
          </cell>
          <cell r="E51">
            <v>6.2325100000000001E-2</v>
          </cell>
          <cell r="F51">
            <v>-1.8146599999999999E-2</v>
          </cell>
          <cell r="G51">
            <v>-1.6109100000000001E-2</v>
          </cell>
          <cell r="H51">
            <v>-1.5998499999999999E-2</v>
          </cell>
          <cell r="I51">
            <v>4.0212700000000004E-2</v>
          </cell>
        </row>
        <row r="52">
          <cell r="D52">
            <v>4.37957E-2</v>
          </cell>
          <cell r="E52">
            <v>1.0043699999999999E-2</v>
          </cell>
          <cell r="F52">
            <v>-1.5413399999999999E-2</v>
          </cell>
          <cell r="G52">
            <v>-1.8908E-3</v>
          </cell>
          <cell r="H52">
            <v>-1.14109E-2</v>
          </cell>
          <cell r="I52">
            <v>4.3988800000000002E-2</v>
          </cell>
        </row>
        <row r="53">
          <cell r="D53">
            <v>5.3368800000000001E-2</v>
          </cell>
          <cell r="E53">
            <v>2.0998899999999997E-2</v>
          </cell>
          <cell r="F53">
            <v>7.4982E-3</v>
          </cell>
          <cell r="G53">
            <v>1.3994400000000001E-2</v>
          </cell>
          <cell r="H53">
            <v>1.1752400000000001E-2</v>
          </cell>
          <cell r="I53">
            <v>8.0441600000000002E-2</v>
          </cell>
        </row>
        <row r="54">
          <cell r="D54">
            <v>6.9843999999999991E-3</v>
          </cell>
          <cell r="E54">
            <v>2.0617000000000001E-3</v>
          </cell>
          <cell r="F54">
            <v>3.4494999999999999E-3</v>
          </cell>
          <cell r="G54">
            <v>1.21116E-2</v>
          </cell>
          <cell r="H54">
            <v>6.3566999999999999E-3</v>
          </cell>
          <cell r="I54">
            <v>9.1304000000000003E-3</v>
          </cell>
        </row>
        <row r="55">
          <cell r="D55">
            <v>2.3344800000000002E-2</v>
          </cell>
          <cell r="E55">
            <v>1.9374499999999999E-2</v>
          </cell>
          <cell r="F55">
            <v>6.4263999999999996E-3</v>
          </cell>
          <cell r="G55">
            <v>6.0568999999999996E-3</v>
          </cell>
          <cell r="H55">
            <v>1.6168800000000001E-2</v>
          </cell>
          <cell r="I55">
            <v>2.5900500000000003E-2</v>
          </cell>
        </row>
        <row r="56">
          <cell r="D56">
            <v>2.3754900000000002E-2</v>
          </cell>
          <cell r="E56">
            <v>-3.6108700000000001E-2</v>
          </cell>
          <cell r="F56">
            <v>1.3604099999999999E-2</v>
          </cell>
          <cell r="G56">
            <v>2.6650299999999998E-2</v>
          </cell>
          <cell r="H56">
            <v>1.073E-2</v>
          </cell>
          <cell r="I56">
            <v>4.8163299999999999E-2</v>
          </cell>
        </row>
        <row r="57">
          <cell r="D57">
            <v>3.0405700000000001E-2</v>
          </cell>
          <cell r="E57">
            <v>2.2368299999999997E-2</v>
          </cell>
          <cell r="F57">
            <v>-1.7495E-3</v>
          </cell>
          <cell r="G57">
            <v>-1.7587E-3</v>
          </cell>
          <cell r="H57">
            <v>-8.0710000000000005E-4</v>
          </cell>
          <cell r="I57">
            <v>1.8570299999999998E-2</v>
          </cell>
        </row>
        <row r="58">
          <cell r="D58">
            <v>-4.6509799999999997E-2</v>
          </cell>
          <cell r="E58">
            <v>-2.9484799999999999E-2</v>
          </cell>
          <cell r="F58">
            <v>-1.08399E-2</v>
          </cell>
          <cell r="G58">
            <v>-7.1494999999999996E-3</v>
          </cell>
          <cell r="H58">
            <v>-8.8421999999999997E-3</v>
          </cell>
          <cell r="I58">
            <v>-5.4816700000000003E-2</v>
          </cell>
        </row>
        <row r="59">
          <cell r="D59">
            <v>7.0061799999999994E-2</v>
          </cell>
          <cell r="E59">
            <v>4.2539399999999998E-2</v>
          </cell>
          <cell r="F59">
            <v>-7.0389999999999993E-4</v>
          </cell>
          <cell r="G59">
            <v>1.13469E-2</v>
          </cell>
          <cell r="H59">
            <v>1.812E-3</v>
          </cell>
          <cell r="I59">
            <v>7.6954000000000009E-2</v>
          </cell>
        </row>
        <row r="60">
          <cell r="D60">
            <v>-6.9289999999999994E-3</v>
          </cell>
          <cell r="E60">
            <v>-4.16698E-2</v>
          </cell>
          <cell r="F60">
            <v>7.6556000000000003E-3</v>
          </cell>
          <cell r="G60">
            <v>8.9426999999999996E-3</v>
          </cell>
          <cell r="H60">
            <v>-8.4070000000000011E-4</v>
          </cell>
          <cell r="I60">
            <v>-6.8865000000000003E-3</v>
          </cell>
        </row>
        <row r="61">
          <cell r="D61">
            <v>4.4816099999999998E-2</v>
          </cell>
          <cell r="E61">
            <v>2.2338399999999998E-2</v>
          </cell>
          <cell r="F61">
            <v>-5.1351999999999995E-3</v>
          </cell>
          <cell r="G61">
            <v>3.1646000000000001E-3</v>
          </cell>
          <cell r="H61">
            <v>1.4577000000000001E-3</v>
          </cell>
          <cell r="I61">
            <v>8.8149999999999992E-2</v>
          </cell>
        </row>
        <row r="62">
          <cell r="D62">
            <v>-5.1746999999999994E-2</v>
          </cell>
          <cell r="E62">
            <v>-9.6273700000000004E-2</v>
          </cell>
          <cell r="F62">
            <v>-1.89438E-2</v>
          </cell>
          <cell r="G62">
            <v>-2.0225E-2</v>
          </cell>
          <cell r="H62">
            <v>-3.0658699999999997E-2</v>
          </cell>
          <cell r="I62">
            <v>-6.9116299999999992E-2</v>
          </cell>
        </row>
        <row r="63">
          <cell r="D63">
            <v>-2.9941499999999999E-2</v>
          </cell>
          <cell r="E63">
            <v>1.0674999999999999E-2</v>
          </cell>
          <cell r="F63">
            <v>-6.5869999999999991E-3</v>
          </cell>
          <cell r="G63">
            <v>8.5407E-3</v>
          </cell>
          <cell r="H63">
            <v>-1.9819E-2</v>
          </cell>
          <cell r="I63">
            <v>-3.1461500000000003E-2</v>
          </cell>
        </row>
        <row r="64">
          <cell r="D64">
            <v>3.7129500000000003E-2</v>
          </cell>
          <cell r="E64">
            <v>1.24461E-2</v>
          </cell>
          <cell r="F64">
            <v>-3.1136799999999999E-2</v>
          </cell>
          <cell r="G64">
            <v>-1.85928E-2</v>
          </cell>
          <cell r="H64">
            <v>-2.3716400000000002E-2</v>
          </cell>
          <cell r="I64">
            <v>6.5606899999999996E-2</v>
          </cell>
        </row>
        <row r="65">
          <cell r="D65">
            <v>-8.7201799999999996E-2</v>
          </cell>
          <cell r="E65">
            <v>-9.9109300000000011E-2</v>
          </cell>
          <cell r="F65">
            <v>-3.0980599999999997E-2</v>
          </cell>
          <cell r="G65">
            <v>-2.04383E-2</v>
          </cell>
          <cell r="H65">
            <v>-4.7676800000000005E-2</v>
          </cell>
          <cell r="I65">
            <v>-4.4369399999999996E-2</v>
          </cell>
        </row>
        <row r="66">
          <cell r="D66">
            <v>1.8346E-3</v>
          </cell>
          <cell r="E66">
            <v>1.5112000000000001E-3</v>
          </cell>
          <cell r="F66">
            <v>1.8284E-3</v>
          </cell>
          <cell r="G66">
            <v>-9.9211000000000004E-3</v>
          </cell>
          <cell r="H66">
            <v>4.9176999999999997E-3</v>
          </cell>
          <cell r="I66">
            <v>-6.1640499999999994E-2</v>
          </cell>
        </row>
        <row r="67">
          <cell r="D67">
            <v>-8.2543800000000001E-2</v>
          </cell>
          <cell r="E67">
            <v>-8.2243099999999986E-2</v>
          </cell>
          <cell r="F67">
            <v>-8.7992999999999995E-3</v>
          </cell>
          <cell r="G67">
            <v>-3.1644399999999996E-2</v>
          </cell>
          <cell r="H67">
            <v>-3.01547E-2</v>
          </cell>
          <cell r="I67">
            <v>-7.4680299999999991E-2</v>
          </cell>
        </row>
        <row r="68">
          <cell r="D68">
            <v>9.2204499999999995E-2</v>
          </cell>
          <cell r="E68">
            <v>0.10440279999999999</v>
          </cell>
          <cell r="F68">
            <v>1.5941899999999998E-2</v>
          </cell>
          <cell r="G68">
            <v>4.3534499999999997E-2</v>
          </cell>
          <cell r="H68">
            <v>3.3893399999999997E-2</v>
          </cell>
          <cell r="I68">
            <v>8.9628399999999997E-2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 risky assets"/>
      <sheetName val="EF risky assets with matrices"/>
      <sheetName val="EF risky plus risk free"/>
    </sheetNames>
    <sheetDataSet>
      <sheetData sheetId="0">
        <row r="73">
          <cell r="AA73" t="str">
            <v>Annualaverage return</v>
          </cell>
        </row>
        <row r="74">
          <cell r="Z74">
            <v>4.47941781818854E-2</v>
          </cell>
          <cell r="AA74">
            <v>1.1255146793776927E-2</v>
          </cell>
        </row>
        <row r="75">
          <cell r="Z75">
            <v>4.0898696965075587E-2</v>
          </cell>
          <cell r="AA75">
            <v>2.3031233582208044E-2</v>
          </cell>
        </row>
        <row r="76">
          <cell r="Z76">
            <v>4.1531170917698805E-2</v>
          </cell>
          <cell r="AA76">
            <v>2.9999982684353554E-2</v>
          </cell>
        </row>
        <row r="77">
          <cell r="Z77">
            <v>5.5131887140209286E-2</v>
          </cell>
          <cell r="AA77">
            <v>5.4999679387395917E-2</v>
          </cell>
        </row>
        <row r="78">
          <cell r="Z78">
            <v>6.9913521149213315E-2</v>
          </cell>
          <cell r="AA78">
            <v>6.9106388683045639E-2</v>
          </cell>
        </row>
        <row r="79">
          <cell r="Z79">
            <v>8.3272981820615599E-2</v>
          </cell>
          <cell r="AA79">
            <v>8.0000297418479249E-2</v>
          </cell>
        </row>
        <row r="80">
          <cell r="Z80">
            <v>0.10973933044503331</v>
          </cell>
          <cell r="AA80">
            <v>0.10000053798530417</v>
          </cell>
        </row>
        <row r="81">
          <cell r="Z81">
            <v>0.14413132126750616</v>
          </cell>
          <cell r="AA81">
            <v>0.12499993401278919</v>
          </cell>
        </row>
        <row r="82">
          <cell r="Z82">
            <v>0.17189025120253087</v>
          </cell>
          <cell r="AA82">
            <v>0.1450220177829844</v>
          </cell>
        </row>
      </sheetData>
      <sheetData sheetId="1"/>
      <sheetData sheetId="2">
        <row r="91">
          <cell r="AA91" t="str">
            <v>Annualised average return</v>
          </cell>
        </row>
        <row r="92">
          <cell r="Z92">
            <v>0</v>
          </cell>
          <cell r="AA92">
            <v>1.0788406118340976E-2</v>
          </cell>
        </row>
        <row r="93">
          <cell r="Z93">
            <v>6.9913521149213315E-2</v>
          </cell>
          <cell r="AA93">
            <v>6.9106388683045639E-2</v>
          </cell>
        </row>
        <row r="94">
          <cell r="Z94">
            <v>0.18</v>
          </cell>
          <cell r="AA94">
            <v>0.1609344249298246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69D98-0204-1445-8F50-08A2D8B9DF3F}" name="Table22" displayName="Table22" ref="Z73:AA82" totalsRowShown="0" headerRowDxfId="11" dataDxfId="10">
  <autoFilter ref="Z73:AA82" xr:uid="{E9269D98-0204-1445-8F50-08A2D8B9DF3F}"/>
  <tableColumns count="2">
    <tableColumn id="1" xr3:uid="{91C9C2B1-0A7C-574D-9E91-6BAAD818A25A}" name="Annual standard deviation" dataDxfId="9"/>
    <tableColumn id="2" xr3:uid="{174CC812-06B5-434B-8B9D-853E1511D88E}" name="Annualaverage return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66489-2400-CE42-BCFB-6B0716B03CBF}" name="Table25" displayName="Table25" ref="Z73:AA82" totalsRowShown="0" headerRowDxfId="7" dataDxfId="6">
  <autoFilter ref="Z73:AA82" xr:uid="{6C166489-2400-CE42-BCFB-6B0716B03CBF}"/>
  <tableColumns count="2">
    <tableColumn id="1" xr3:uid="{506E3416-942D-A945-A633-C03FF0470583}" name="Annual standard deviation" dataDxfId="5"/>
    <tableColumn id="2" xr3:uid="{AA48B6E9-7958-514A-B034-90ADCB134E58}" name="Annualaverage return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9E97B-2AA0-9A4A-98E2-AEAACF9E338F}" name="Table1" displayName="Table1" ref="Z91:AA94" totalsRowShown="0" headerRowDxfId="3" dataDxfId="2">
  <autoFilter ref="Z91:AA94" xr:uid="{D2E9E97B-2AA0-9A4A-98E2-AEAACF9E338F}"/>
  <tableColumns count="2">
    <tableColumn id="1" xr3:uid="{5F10737C-85A1-2043-BE66-AD7E300C873C}" name="Annualised standard deviation" dataDxfId="1"/>
    <tableColumn id="2" xr3:uid="{AE62EED0-A8A1-7D4A-9537-0C1B928D0E3E}" name="Annualised average retur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A5EF-AA59-7C4C-9539-4BEA01C29EB8}">
  <dimension ref="A1:BE921"/>
  <sheetViews>
    <sheetView tabSelected="1" topLeftCell="A2" zoomScaleNormal="100" workbookViewId="0">
      <selection activeCell="J7" sqref="J7"/>
    </sheetView>
  </sheetViews>
  <sheetFormatPr baseColWidth="10" defaultColWidth="11" defaultRowHeight="16" x14ac:dyDescent="0.2"/>
  <cols>
    <col min="1" max="1" width="17.33203125" customWidth="1"/>
    <col min="2" max="2" width="16.1640625" customWidth="1"/>
    <col min="3" max="3" width="9.1640625" customWidth="1"/>
    <col min="4" max="5" width="8.83203125" customWidth="1"/>
    <col min="6" max="6" width="14.1640625" customWidth="1"/>
    <col min="7" max="13" width="8.83203125" customWidth="1"/>
    <col min="14" max="14" width="11.6640625" customWidth="1"/>
    <col min="15" max="24" width="8.83203125" customWidth="1"/>
    <col min="25" max="25" width="20.1640625" style="2" customWidth="1"/>
    <col min="26" max="26" width="24.83203125" style="2" customWidth="1"/>
    <col min="27" max="27" width="21.1640625" style="2" customWidth="1"/>
    <col min="28" max="28" width="12" style="2" customWidth="1"/>
    <col min="29" max="29" width="9.1640625" style="2" customWidth="1"/>
    <col min="30" max="30" width="11.33203125" style="2" customWidth="1"/>
    <col min="31" max="31" width="9.1640625" style="2" customWidth="1"/>
    <col min="32" max="32" width="10.1640625" style="2" bestFit="1" customWidth="1"/>
    <col min="33" max="33" width="18" style="2" customWidth="1"/>
    <col min="34" max="34" width="11" style="2"/>
    <col min="35" max="35" width="10.6640625" style="2" customWidth="1"/>
    <col min="36" max="42" width="9.1640625" style="2" customWidth="1"/>
    <col min="43" max="230" width="8.83203125" customWidth="1"/>
  </cols>
  <sheetData>
    <row r="1" spans="1:57" x14ac:dyDescent="0.2">
      <c r="F1" s="1"/>
    </row>
    <row r="2" spans="1:57" x14ac:dyDescent="0.2">
      <c r="F2" s="1"/>
    </row>
    <row r="3" spans="1:57" x14ac:dyDescent="0.2">
      <c r="B3" s="3" t="s">
        <v>0</v>
      </c>
      <c r="C3" s="3"/>
      <c r="F3" s="1"/>
      <c r="N3" s="3" t="s">
        <v>1</v>
      </c>
      <c r="Y3" s="4" t="s">
        <v>2</v>
      </c>
    </row>
    <row r="5" spans="1:57" ht="29" x14ac:dyDescent="0.2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Y5" s="5"/>
      <c r="Z5" s="6" t="s">
        <v>3</v>
      </c>
      <c r="AA5" s="6" t="s">
        <v>4</v>
      </c>
      <c r="AB5" s="6"/>
      <c r="AD5" s="2" t="s">
        <v>69</v>
      </c>
    </row>
    <row r="6" spans="1:57" x14ac:dyDescent="0.2">
      <c r="B6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/>
      <c r="M6" s="7" t="s">
        <v>6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s="2" t="s">
        <v>21</v>
      </c>
      <c r="W6" s="2"/>
      <c r="Y6" t="s">
        <v>6</v>
      </c>
      <c r="Z6" s="9">
        <v>1.0788406118340976E-2</v>
      </c>
      <c r="AA6" s="9">
        <v>2.5893761922941819E-3</v>
      </c>
      <c r="AB6" s="10"/>
    </row>
    <row r="7" spans="1:57" x14ac:dyDescent="0.2">
      <c r="B7" t="s">
        <v>22</v>
      </c>
      <c r="C7" s="7" t="s">
        <v>23</v>
      </c>
      <c r="D7" t="s">
        <v>24</v>
      </c>
      <c r="E7" t="s">
        <v>25</v>
      </c>
      <c r="M7" s="7"/>
      <c r="X7">
        <v>1</v>
      </c>
      <c r="Y7" s="8" t="s">
        <v>7</v>
      </c>
      <c r="Z7" s="11">
        <f>D72</f>
        <v>0.1450220177829844</v>
      </c>
      <c r="AA7" s="11">
        <f>D73</f>
        <v>0.17189025120253087</v>
      </c>
      <c r="AB7" s="12"/>
    </row>
    <row r="8" spans="1:57" x14ac:dyDescent="0.2">
      <c r="B8" s="13"/>
      <c r="C8" s="14"/>
      <c r="E8" s="1"/>
      <c r="M8" s="7"/>
      <c r="X8">
        <v>2</v>
      </c>
      <c r="Y8" s="8" t="s">
        <v>8</v>
      </c>
      <c r="Z8" s="11">
        <f>E72</f>
        <v>9.8582973920927852E-2</v>
      </c>
      <c r="AA8" s="11">
        <f>E73</f>
        <v>0.22277741073519366</v>
      </c>
      <c r="AB8" s="12"/>
    </row>
    <row r="9" spans="1:57" x14ac:dyDescent="0.2">
      <c r="A9">
        <v>1</v>
      </c>
      <c r="B9" s="15">
        <v>1.01</v>
      </c>
      <c r="C9" s="16">
        <f>(1+B9/100)^(1/12)-1</f>
        <v>8.3779540909700856E-4</v>
      </c>
      <c r="D9">
        <v>3.0612E-3</v>
      </c>
      <c r="E9">
        <v>-1.2722000000000001E-2</v>
      </c>
      <c r="F9">
        <v>1.0827E-2</v>
      </c>
      <c r="G9">
        <v>1.064E-2</v>
      </c>
      <c r="H9">
        <v>6.9742000000000007E-3</v>
      </c>
      <c r="I9">
        <v>-4.1117999999999997E-3</v>
      </c>
      <c r="L9">
        <v>1</v>
      </c>
      <c r="M9" s="16">
        <f t="shared" ref="M9:M68" si="0">C9</f>
        <v>8.3779540909700856E-4</v>
      </c>
      <c r="N9">
        <f t="array" ref="N9:V68">MMULT(D9:I68,Z47:AH52)</f>
        <v>1.0826999999999998E-2</v>
      </c>
      <c r="O9">
        <v>9.9393410014523703E-3</v>
      </c>
      <c r="P9">
        <v>1.043229772003468E-2</v>
      </c>
      <c r="Q9">
        <v>9.5887269110131058E-3</v>
      </c>
      <c r="R9">
        <v>8.5329248035482426E-3</v>
      </c>
      <c r="S9">
        <v>7.7262754956885617E-3</v>
      </c>
      <c r="T9">
        <v>6.2645026961647386E-3</v>
      </c>
      <c r="U9">
        <v>4.4712602187530134E-3</v>
      </c>
      <c r="V9">
        <v>3.0612E-3</v>
      </c>
      <c r="X9">
        <v>3</v>
      </c>
      <c r="Y9" s="8" t="s">
        <v>26</v>
      </c>
      <c r="Z9" s="11">
        <f>F72</f>
        <v>1.1255146793776927E-2</v>
      </c>
      <c r="AA9" s="11">
        <f>F73</f>
        <v>4.479417818188542E-2</v>
      </c>
      <c r="AB9" s="12"/>
    </row>
    <row r="10" spans="1:57" x14ac:dyDescent="0.2">
      <c r="A10">
        <f>A9+1</f>
        <v>2</v>
      </c>
      <c r="B10" s="15">
        <v>1.03</v>
      </c>
      <c r="C10" s="16">
        <f t="shared" ref="C10:C68" si="1">(1+B10/100)^(1/12)-1</f>
        <v>8.543077507923158E-4</v>
      </c>
      <c r="D10">
        <v>2.0628199999999999E-2</v>
      </c>
      <c r="E10">
        <v>6.2408999999999999E-2</v>
      </c>
      <c r="F10">
        <v>-8.575000000000001E-3</v>
      </c>
      <c r="G10">
        <v>-6.4073000000000003E-3</v>
      </c>
      <c r="H10">
        <v>-3.8100000000000005E-4</v>
      </c>
      <c r="I10">
        <v>1.0904E-3</v>
      </c>
      <c r="L10">
        <f>L9+1</f>
        <v>2</v>
      </c>
      <c r="M10" s="16">
        <f t="shared" si="0"/>
        <v>8.543077507923158E-4</v>
      </c>
      <c r="N10">
        <v>-8.5749999999999993E-3</v>
      </c>
      <c r="O10">
        <v>-5.4234566696005383E-3</v>
      </c>
      <c r="P10">
        <v>-6.4164728992531228E-3</v>
      </c>
      <c r="Q10">
        <v>-2.657151853176666E-3</v>
      </c>
      <c r="R10">
        <v>1.1091711397149245E-3</v>
      </c>
      <c r="S10">
        <v>3.9866936185555578E-3</v>
      </c>
      <c r="T10">
        <v>9.2012075945846622E-3</v>
      </c>
      <c r="U10">
        <v>1.5598157903085304E-2</v>
      </c>
      <c r="V10">
        <v>2.0628199999999999E-2</v>
      </c>
      <c r="X10">
        <v>4</v>
      </c>
      <c r="Y10" s="8" t="s">
        <v>10</v>
      </c>
      <c r="Z10" s="11">
        <f>G72</f>
        <v>4.1124261451965349E-2</v>
      </c>
      <c r="AA10" s="11">
        <f>G73</f>
        <v>4.6199426517679852E-2</v>
      </c>
      <c r="AB10" s="12"/>
    </row>
    <row r="11" spans="1:57" x14ac:dyDescent="0.2">
      <c r="A11">
        <f t="shared" ref="A11:A68" si="2">A10+1</f>
        <v>3</v>
      </c>
      <c r="B11" s="15">
        <v>1.07</v>
      </c>
      <c r="C11" s="16">
        <f t="shared" si="1"/>
        <v>8.8732344693531751E-4</v>
      </c>
      <c r="D11">
        <v>2.3335400000000003E-2</v>
      </c>
      <c r="E11">
        <v>8.5243000000000003E-3</v>
      </c>
      <c r="F11">
        <v>-1.2101E-3</v>
      </c>
      <c r="G11">
        <v>2.1390999999999997E-3</v>
      </c>
      <c r="H11">
        <v>4.0051999999999996E-3</v>
      </c>
      <c r="I11">
        <v>-1.1108199999999999E-2</v>
      </c>
      <c r="L11">
        <f t="shared" ref="L11:L68" si="3">L10+1</f>
        <v>3</v>
      </c>
      <c r="M11" s="16">
        <f t="shared" si="0"/>
        <v>8.8732344693531751E-4</v>
      </c>
      <c r="N11">
        <v>-1.2100999999999998E-3</v>
      </c>
      <c r="O11">
        <v>1.2749952627768202E-4</v>
      </c>
      <c r="P11">
        <v>1.3072987795482E-3</v>
      </c>
      <c r="Q11">
        <v>5.0792504545061293E-3</v>
      </c>
      <c r="R11">
        <v>8.0321434879598863E-3</v>
      </c>
      <c r="S11">
        <v>1.0288170922934169E-2</v>
      </c>
      <c r="T11">
        <v>1.4376440146366628E-2</v>
      </c>
      <c r="U11">
        <v>1.939175992310729E-2</v>
      </c>
      <c r="V11">
        <v>2.3335400000000003E-2</v>
      </c>
      <c r="X11">
        <v>5</v>
      </c>
      <c r="Y11" s="8" t="s">
        <v>11</v>
      </c>
      <c r="Z11" s="17">
        <f>H72</f>
        <v>2.273036387857208E-2</v>
      </c>
      <c r="AA11" s="17">
        <f>H73</f>
        <v>6.8068641458528437E-2</v>
      </c>
      <c r="AB11" s="12"/>
      <c r="AC11"/>
      <c r="AD11"/>
      <c r="AE11"/>
      <c r="AF11"/>
      <c r="AG11"/>
      <c r="AI11"/>
      <c r="AJ11"/>
      <c r="AK11"/>
      <c r="AL11"/>
      <c r="AM11"/>
      <c r="AN11"/>
      <c r="AO11"/>
      <c r="AP11"/>
      <c r="AR11" s="18"/>
      <c r="AS11" s="19"/>
      <c r="AT11" s="19"/>
      <c r="AU11" s="19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2">
      <c r="A12">
        <f t="shared" si="2"/>
        <v>4</v>
      </c>
      <c r="B12" s="15">
        <v>1.23</v>
      </c>
      <c r="C12" s="16">
        <f t="shared" si="1"/>
        <v>1.0192665680117674E-3</v>
      </c>
      <c r="D12">
        <v>3.0669800000000001E-2</v>
      </c>
      <c r="E12">
        <v>2.8819400000000002E-2</v>
      </c>
      <c r="F12">
        <v>-1.3744E-3</v>
      </c>
      <c r="G12">
        <v>1.2975999999999999E-3</v>
      </c>
      <c r="H12">
        <v>-1.6164E-3</v>
      </c>
      <c r="I12">
        <v>2.6964000000000002E-2</v>
      </c>
      <c r="L12">
        <f t="shared" si="3"/>
        <v>4</v>
      </c>
      <c r="M12" s="16">
        <f t="shared" si="0"/>
        <v>1.0192665680117674E-3</v>
      </c>
      <c r="N12">
        <v>-1.3743999999999998E-3</v>
      </c>
      <c r="O12">
        <v>4.8529632512351651E-4</v>
      </c>
      <c r="P12">
        <v>1.129207134661874E-3</v>
      </c>
      <c r="Q12">
        <v>5.3718460657781837E-3</v>
      </c>
      <c r="R12">
        <v>9.4637257831345703E-3</v>
      </c>
      <c r="S12">
        <v>1.2589954843185246E-2</v>
      </c>
      <c r="T12">
        <v>1.8255163454334474E-2</v>
      </c>
      <c r="U12">
        <v>2.5205007320782017E-2</v>
      </c>
      <c r="V12">
        <v>3.0669800000000001E-2</v>
      </c>
      <c r="X12">
        <v>6</v>
      </c>
      <c r="Y12" s="8" t="s">
        <v>12</v>
      </c>
      <c r="Z12" s="17">
        <f>I72</f>
        <v>8.7265615500962346E-2</v>
      </c>
      <c r="AA12" s="17">
        <f>I73</f>
        <v>0.18788228716613353</v>
      </c>
      <c r="AB12" s="12"/>
      <c r="AC12"/>
      <c r="AD12"/>
      <c r="AE12"/>
      <c r="AF12"/>
      <c r="AG12"/>
      <c r="AI12"/>
      <c r="AJ12"/>
      <c r="AK12"/>
      <c r="AL12"/>
      <c r="AM12"/>
      <c r="AN12"/>
      <c r="AO12"/>
      <c r="AP12"/>
      <c r="AR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2">
      <c r="A13">
        <f t="shared" si="2"/>
        <v>5</v>
      </c>
      <c r="B13" s="15">
        <v>1.32</v>
      </c>
      <c r="C13" s="16">
        <f t="shared" si="1"/>
        <v>1.0934005891671816E-3</v>
      </c>
      <c r="D13">
        <v>1.1118699999999999E-2</v>
      </c>
      <c r="E13">
        <v>-4.0360999999999999E-3</v>
      </c>
      <c r="F13">
        <v>3.0908000000000003E-3</v>
      </c>
      <c r="G13">
        <v>9.1549999999999999E-3</v>
      </c>
      <c r="H13">
        <v>7.5915000000000002E-3</v>
      </c>
      <c r="I13">
        <v>-1.5758E-3</v>
      </c>
      <c r="L13">
        <f t="shared" si="3"/>
        <v>5</v>
      </c>
      <c r="M13" s="16">
        <f t="shared" si="0"/>
        <v>1.0934005891671816E-3</v>
      </c>
      <c r="N13">
        <v>3.0907999999999995E-3</v>
      </c>
      <c r="O13">
        <v>4.6380046438410493E-3</v>
      </c>
      <c r="P13">
        <v>6.2017936781683363E-3</v>
      </c>
      <c r="Q13">
        <v>9.4273770401323148E-3</v>
      </c>
      <c r="R13">
        <v>9.7009523358938497E-3</v>
      </c>
      <c r="S13">
        <v>9.9099586753991706E-3</v>
      </c>
      <c r="T13">
        <v>1.0288710357251981E-2</v>
      </c>
      <c r="U13">
        <v>1.0753347272448765E-2</v>
      </c>
      <c r="V13">
        <v>1.1118699999999999E-2</v>
      </c>
      <c r="Y13" s="8"/>
      <c r="Z13" s="17"/>
      <c r="AA13" s="17"/>
      <c r="AB13" s="12"/>
      <c r="AC13"/>
      <c r="AD13"/>
      <c r="AE13"/>
      <c r="AF13"/>
      <c r="AG13"/>
      <c r="AI13"/>
      <c r="AJ13"/>
      <c r="AK13"/>
      <c r="AL13"/>
      <c r="AM13"/>
      <c r="AN13"/>
      <c r="AO13"/>
      <c r="AP13"/>
      <c r="AR13" s="2"/>
      <c r="AS13" s="15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x14ac:dyDescent="0.2">
      <c r="A14">
        <f t="shared" si="2"/>
        <v>6</v>
      </c>
      <c r="B14" s="15">
        <v>1.41</v>
      </c>
      <c r="C14" s="16">
        <f t="shared" si="1"/>
        <v>1.1674742711142994E-3</v>
      </c>
      <c r="D14">
        <v>5.7253999999999999E-2</v>
      </c>
      <c r="E14">
        <v>2.6134300000000003E-2</v>
      </c>
      <c r="F14">
        <v>-1.35891E-2</v>
      </c>
      <c r="G14">
        <v>-8.5746999999999993E-3</v>
      </c>
      <c r="H14">
        <v>-6.6296999999999997E-3</v>
      </c>
      <c r="I14">
        <v>-4.3163900000000005E-2</v>
      </c>
      <c r="L14">
        <f t="shared" si="3"/>
        <v>6</v>
      </c>
      <c r="M14" s="16">
        <f t="shared" si="0"/>
        <v>1.1674742711142994E-3</v>
      </c>
      <c r="N14">
        <v>-1.3589099999999996E-2</v>
      </c>
      <c r="O14">
        <v>-1.0697727308662921E-2</v>
      </c>
      <c r="P14">
        <v>-8.4652075772319174E-3</v>
      </c>
      <c r="Q14">
        <v>5.5644483027226643E-4</v>
      </c>
      <c r="R14">
        <v>9.7271447491243702E-3</v>
      </c>
      <c r="S14">
        <v>1.6733620087211475E-2</v>
      </c>
      <c r="T14">
        <v>2.9430432654903201E-2</v>
      </c>
      <c r="U14">
        <v>4.5006357744995715E-2</v>
      </c>
      <c r="V14">
        <v>5.7253999999999999E-2</v>
      </c>
      <c r="Y14" s="8"/>
      <c r="Z14" s="17"/>
      <c r="AA14" s="17"/>
      <c r="AB14" s="12"/>
      <c r="AC14"/>
      <c r="AD14"/>
      <c r="AE14"/>
      <c r="AF14"/>
      <c r="AG14"/>
      <c r="AI14"/>
      <c r="AJ14"/>
      <c r="AK14"/>
      <c r="AL14"/>
      <c r="AM14"/>
      <c r="AN14"/>
      <c r="AO14"/>
      <c r="AP14"/>
      <c r="AR14" s="2"/>
      <c r="AS14" s="15"/>
      <c r="AT14" s="15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x14ac:dyDescent="0.2">
      <c r="A15">
        <f t="shared" si="2"/>
        <v>7</v>
      </c>
      <c r="B15" s="15">
        <v>1.57</v>
      </c>
      <c r="C15" s="16">
        <f t="shared" si="1"/>
        <v>1.2990121499387719E-3</v>
      </c>
      <c r="D15">
        <v>-3.6857099999999997E-2</v>
      </c>
      <c r="E15">
        <v>-3.8721699999999998E-2</v>
      </c>
      <c r="F15">
        <v>-7.5326000000000004E-3</v>
      </c>
      <c r="G15">
        <v>-9.7184000000000003E-3</v>
      </c>
      <c r="H15">
        <v>-1.4009899999999999E-2</v>
      </c>
      <c r="I15">
        <v>-7.397999999999999E-2</v>
      </c>
      <c r="L15">
        <f t="shared" si="3"/>
        <v>7</v>
      </c>
      <c r="M15" s="16">
        <f t="shared" si="0"/>
        <v>1.2990121499387719E-3</v>
      </c>
      <c r="N15">
        <v>-7.5325999999999987E-3</v>
      </c>
      <c r="O15">
        <v>-9.2832283123219003E-3</v>
      </c>
      <c r="P15">
        <v>-9.7042807514275305E-3</v>
      </c>
      <c r="Q15">
        <v>-1.3482837436171537E-2</v>
      </c>
      <c r="R15">
        <v>-1.7263563038204637E-2</v>
      </c>
      <c r="S15">
        <v>-2.0152069605366581E-2</v>
      </c>
      <c r="T15">
        <v>-2.5386488441388352E-2</v>
      </c>
      <c r="U15">
        <v>-3.1807857209759802E-2</v>
      </c>
      <c r="V15">
        <v>-3.6857099999999997E-2</v>
      </c>
      <c r="Y15" s="8" t="s">
        <v>27</v>
      </c>
      <c r="Z15" s="17"/>
      <c r="AA15" s="17"/>
      <c r="AB15" s="12"/>
      <c r="AC15"/>
      <c r="AD15"/>
      <c r="AE15"/>
      <c r="AF15"/>
      <c r="AG15"/>
      <c r="AI15"/>
      <c r="AJ15"/>
      <c r="AK15"/>
      <c r="AL15"/>
      <c r="AM15"/>
      <c r="AN15"/>
      <c r="AO15"/>
      <c r="AP15"/>
      <c r="AR15" s="2"/>
      <c r="AS15" s="15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7" thickBot="1" x14ac:dyDescent="0.25">
      <c r="A16">
        <f t="shared" si="2"/>
        <v>8</v>
      </c>
      <c r="B16" s="15">
        <v>1.7</v>
      </c>
      <c r="C16" s="16">
        <f t="shared" si="1"/>
        <v>1.4057468926966799E-3</v>
      </c>
      <c r="D16">
        <v>-2.54133E-2</v>
      </c>
      <c r="E16">
        <v>1.2933699999999999E-2</v>
      </c>
      <c r="F16">
        <v>9.4313000000000001E-3</v>
      </c>
      <c r="G16">
        <v>1.0504299999999999E-2</v>
      </c>
      <c r="H16">
        <v>7.4229999999999999E-4</v>
      </c>
      <c r="I16">
        <v>3.8473300000000002E-2</v>
      </c>
      <c r="L16">
        <f t="shared" si="3"/>
        <v>8</v>
      </c>
      <c r="M16" s="16">
        <f t="shared" si="0"/>
        <v>1.4057468926966799E-3</v>
      </c>
      <c r="N16">
        <v>9.4312999999999984E-3</v>
      </c>
      <c r="O16">
        <v>9.8733942446698579E-3</v>
      </c>
      <c r="P16">
        <v>8.5406132634405739E-3</v>
      </c>
      <c r="Q16">
        <v>5.5221584352823511E-3</v>
      </c>
      <c r="R16">
        <v>5.1840723649184198E-4</v>
      </c>
      <c r="S16">
        <v>-3.3044812392532697E-3</v>
      </c>
      <c r="T16">
        <v>-1.0232144022831242E-2</v>
      </c>
      <c r="U16">
        <v>-1.8730714509805877E-2</v>
      </c>
      <c r="V16">
        <v>-2.54133E-2</v>
      </c>
      <c r="Y16" s="20"/>
      <c r="Z16" s="21" t="s">
        <v>7</v>
      </c>
      <c r="AA16" s="21" t="s">
        <v>8</v>
      </c>
      <c r="AB16" s="21" t="s">
        <v>26</v>
      </c>
      <c r="AC16" s="21" t="s">
        <v>10</v>
      </c>
      <c r="AD16" s="21" t="s">
        <v>11</v>
      </c>
      <c r="AE16" s="21" t="s">
        <v>12</v>
      </c>
      <c r="AF16"/>
      <c r="AG16"/>
      <c r="AI16"/>
      <c r="AJ16"/>
      <c r="AK16"/>
      <c r="AL16"/>
      <c r="AM16"/>
      <c r="AN16"/>
      <c r="AO16"/>
      <c r="AP16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x14ac:dyDescent="0.2">
      <c r="A17">
        <f t="shared" si="2"/>
        <v>9</v>
      </c>
      <c r="B17" s="15">
        <v>1.76</v>
      </c>
      <c r="C17" s="16">
        <f t="shared" si="1"/>
        <v>1.4549669057570824E-3</v>
      </c>
      <c r="D17">
        <v>3.8371E-3</v>
      </c>
      <c r="E17">
        <v>8.6453999999999993E-3</v>
      </c>
      <c r="F17">
        <v>-8.0978000000000005E-3</v>
      </c>
      <c r="G17">
        <v>-5.7379999999999996E-4</v>
      </c>
      <c r="H17">
        <v>-6.0106000000000005E-3</v>
      </c>
      <c r="I17">
        <v>1.4664900000000002E-2</v>
      </c>
      <c r="L17">
        <f t="shared" si="3"/>
        <v>9</v>
      </c>
      <c r="M17" s="16">
        <f t="shared" si="0"/>
        <v>1.4549669057570824E-3</v>
      </c>
      <c r="N17">
        <v>-8.0977999999999987E-3</v>
      </c>
      <c r="O17">
        <v>-5.2739895232755121E-3</v>
      </c>
      <c r="P17">
        <v>-4.1594499561339393E-3</v>
      </c>
      <c r="Q17">
        <v>3.8043447373112922E-5</v>
      </c>
      <c r="R17">
        <v>6.5252844039017451E-4</v>
      </c>
      <c r="S17">
        <v>1.1220024246670691E-3</v>
      </c>
      <c r="T17">
        <v>1.9727616004495381E-3</v>
      </c>
      <c r="U17">
        <v>3.0164378082417186E-3</v>
      </c>
      <c r="V17">
        <v>3.8371E-3</v>
      </c>
      <c r="X17">
        <v>1</v>
      </c>
      <c r="Y17" s="8" t="s">
        <v>7</v>
      </c>
      <c r="Z17">
        <f>VARP([1]Sheet1!$D$9:$D$68)</f>
        <v>2.4621882048724308E-3</v>
      </c>
      <c r="AA17">
        <v>2.8519817734860846E-3</v>
      </c>
      <c r="AB17">
        <v>-6.4661401829374973E-5</v>
      </c>
      <c r="AC17">
        <v>3.0961135642204168E-4</v>
      </c>
      <c r="AD17">
        <v>6.2526926879595838E-4</v>
      </c>
      <c r="AE17">
        <v>2.1281292030580277E-3</v>
      </c>
      <c r="AF17"/>
      <c r="AG17"/>
      <c r="AI17"/>
      <c r="AJ17"/>
      <c r="AK17"/>
      <c r="AL17"/>
      <c r="AM17"/>
      <c r="AN17"/>
      <c r="AO17"/>
      <c r="AP17"/>
      <c r="BE17" s="2"/>
    </row>
    <row r="18" spans="1:57" x14ac:dyDescent="0.2">
      <c r="A18">
        <f t="shared" si="2"/>
        <v>10</v>
      </c>
      <c r="B18" s="15">
        <v>1.86</v>
      </c>
      <c r="C18" s="16">
        <f t="shared" si="1"/>
        <v>1.5369411743291206E-3</v>
      </c>
      <c r="D18">
        <v>2.4081999999999999E-2</v>
      </c>
      <c r="E18">
        <v>6.07006E-2</v>
      </c>
      <c r="F18">
        <v>8.9779999999999999E-3</v>
      </c>
      <c r="G18">
        <v>4.2630000000000003E-3</v>
      </c>
      <c r="H18">
        <v>3.7255999999999999E-3</v>
      </c>
      <c r="I18">
        <v>4.2378200000000005E-2</v>
      </c>
      <c r="L18">
        <f t="shared" si="3"/>
        <v>10</v>
      </c>
      <c r="M18" s="16">
        <f t="shared" si="0"/>
        <v>1.5369411743291206E-3</v>
      </c>
      <c r="N18">
        <v>8.9779999999999981E-3</v>
      </c>
      <c r="O18">
        <v>9.4069974348601499E-3</v>
      </c>
      <c r="P18">
        <v>7.4074253205500939E-3</v>
      </c>
      <c r="Q18">
        <v>7.0121368879867349E-3</v>
      </c>
      <c r="R18">
        <v>9.7731234124765615E-3</v>
      </c>
      <c r="S18">
        <v>1.1882557971043609E-2</v>
      </c>
      <c r="T18">
        <v>1.5705178321727856E-2</v>
      </c>
      <c r="U18">
        <v>2.0394611036646176E-2</v>
      </c>
      <c r="V18">
        <v>2.4081999999999999E-2</v>
      </c>
      <c r="X18">
        <v>2</v>
      </c>
      <c r="Y18" s="8" t="s">
        <v>8</v>
      </c>
      <c r="Z18">
        <v>2.8519817734860846E-3</v>
      </c>
      <c r="AA18">
        <f>VARP([1]Sheet1!$E$9:$E$68)</f>
        <v>4.1358145611564328E-3</v>
      </c>
      <c r="AB18">
        <v>-1.5751518778841652E-4</v>
      </c>
      <c r="AC18">
        <v>3.3188022726608329E-4</v>
      </c>
      <c r="AD18">
        <v>7.8013044138801671E-4</v>
      </c>
      <c r="AE18">
        <v>2.658314957609367E-3</v>
      </c>
      <c r="AF18"/>
      <c r="AG18"/>
      <c r="AI18"/>
      <c r="AJ18"/>
      <c r="AK18"/>
      <c r="AL18"/>
      <c r="AM18"/>
      <c r="AN18"/>
      <c r="AO18"/>
      <c r="AP18"/>
      <c r="BE18" s="2"/>
    </row>
    <row r="19" spans="1:57" x14ac:dyDescent="0.2">
      <c r="A19">
        <f t="shared" si="2"/>
        <v>11</v>
      </c>
      <c r="B19" s="15">
        <v>1.9</v>
      </c>
      <c r="C19" s="16">
        <f t="shared" si="1"/>
        <v>1.5697102274137009E-3</v>
      </c>
      <c r="D19">
        <v>6.1548999999999996E-3</v>
      </c>
      <c r="E19">
        <v>7.1657000000000005E-3</v>
      </c>
      <c r="F19">
        <v>2.041E-4</v>
      </c>
      <c r="G19">
        <v>4.0116000000000006E-3</v>
      </c>
      <c r="H19">
        <v>-3.9359E-3</v>
      </c>
      <c r="I19">
        <v>4.2511E-2</v>
      </c>
      <c r="L19">
        <f t="shared" si="3"/>
        <v>11</v>
      </c>
      <c r="M19" s="16">
        <f t="shared" si="0"/>
        <v>1.5697102274137009E-3</v>
      </c>
      <c r="N19">
        <v>2.0409999999999995E-4</v>
      </c>
      <c r="O19">
        <v>1.579676631954946E-3</v>
      </c>
      <c r="P19">
        <v>2.1935616629783711E-3</v>
      </c>
      <c r="Q19">
        <v>4.3088999383738046E-3</v>
      </c>
      <c r="R19">
        <v>4.6074851359786577E-3</v>
      </c>
      <c r="S19">
        <v>4.8356071950823396E-3</v>
      </c>
      <c r="T19">
        <v>5.2489995053715786E-3</v>
      </c>
      <c r="U19">
        <v>5.7561321123590367E-3</v>
      </c>
      <c r="V19">
        <v>6.1548999999999996E-3</v>
      </c>
      <c r="X19">
        <v>3</v>
      </c>
      <c r="Y19" s="8" t="s">
        <v>26</v>
      </c>
      <c r="Z19">
        <v>-6.4661401829374973E-5</v>
      </c>
      <c r="AA19">
        <v>-1.5751518778841652E-4</v>
      </c>
      <c r="AB19">
        <f>VARP([1]Sheet1!$F$9:$F$68)</f>
        <v>1.6720986658254168E-4</v>
      </c>
      <c r="AC19">
        <v>1.12122264231125E-4</v>
      </c>
      <c r="AD19">
        <v>1.0666316883420835E-4</v>
      </c>
      <c r="AE19">
        <v>-1.9242937697083368E-5</v>
      </c>
      <c r="AF19"/>
      <c r="AG19"/>
      <c r="AI19"/>
      <c r="AJ19"/>
      <c r="AK19"/>
      <c r="AL19"/>
      <c r="AM19"/>
      <c r="AN19"/>
      <c r="AO19"/>
      <c r="AP19"/>
      <c r="BE19" s="2"/>
    </row>
    <row r="20" spans="1:57" x14ac:dyDescent="0.2">
      <c r="A20">
        <f t="shared" si="2"/>
        <v>12</v>
      </c>
      <c r="B20" s="15">
        <v>1.96</v>
      </c>
      <c r="C20" s="16">
        <f t="shared" si="1"/>
        <v>1.6188417051281601E-3</v>
      </c>
      <c r="D20">
        <v>3.7213599999999999E-2</v>
      </c>
      <c r="E20">
        <v>1.74285E-2</v>
      </c>
      <c r="F20">
        <v>-4.1825000000000005E-3</v>
      </c>
      <c r="G20">
        <v>-4.8110999999999996E-3</v>
      </c>
      <c r="H20">
        <v>8.0283999999999998E-3</v>
      </c>
      <c r="I20">
        <v>6.8372999999999993E-3</v>
      </c>
      <c r="L20">
        <f t="shared" si="3"/>
        <v>12</v>
      </c>
      <c r="M20" s="16">
        <f t="shared" si="0"/>
        <v>1.6188417051281601E-3</v>
      </c>
      <c r="N20">
        <v>-4.1824999999999996E-3</v>
      </c>
      <c r="O20">
        <v>-3.6052895069840175E-3</v>
      </c>
      <c r="P20">
        <v>-2.8268588319867731E-3</v>
      </c>
      <c r="Q20">
        <v>1.0181754619709577E-3</v>
      </c>
      <c r="R20">
        <v>6.8727025819821271E-3</v>
      </c>
      <c r="S20">
        <v>1.1345600028544321E-2</v>
      </c>
      <c r="T20">
        <v>1.9451179192548393E-2</v>
      </c>
      <c r="U20">
        <v>2.9394768829494149E-2</v>
      </c>
      <c r="V20">
        <v>3.7213599999999999E-2</v>
      </c>
      <c r="X20">
        <v>4</v>
      </c>
      <c r="Y20" s="8" t="s">
        <v>10</v>
      </c>
      <c r="Z20">
        <v>3.0961135642204168E-4</v>
      </c>
      <c r="AA20">
        <v>3.3188022726608329E-4</v>
      </c>
      <c r="AB20">
        <v>1.12122264231125E-4</v>
      </c>
      <c r="AC20">
        <f>VARP([1]Sheet1!$G$9:$G$68)</f>
        <v>1.7786558421354167E-4</v>
      </c>
      <c r="AD20">
        <v>2.01593465622625E-4</v>
      </c>
      <c r="AE20">
        <v>3.8707254979858326E-4</v>
      </c>
      <c r="AF20"/>
      <c r="AG20"/>
      <c r="AI20"/>
      <c r="AJ20"/>
      <c r="AK20"/>
      <c r="AL20"/>
      <c r="AM20"/>
      <c r="AN20"/>
      <c r="AO20"/>
      <c r="AP20"/>
      <c r="BE20" s="2"/>
    </row>
    <row r="21" spans="1:57" x14ac:dyDescent="0.2">
      <c r="A21">
        <f t="shared" si="2"/>
        <v>13</v>
      </c>
      <c r="B21" s="15">
        <v>2.0299999999999998</v>
      </c>
      <c r="C21" s="16">
        <f t="shared" si="1"/>
        <v>1.6761282769228725E-3</v>
      </c>
      <c r="D21">
        <v>3.2585299999999998E-2</v>
      </c>
      <c r="E21">
        <v>4.3109900000000007E-2</v>
      </c>
      <c r="F21">
        <v>7.6483999999999996E-3</v>
      </c>
      <c r="G21">
        <v>7.2026E-3</v>
      </c>
      <c r="H21">
        <v>5.7345E-3</v>
      </c>
      <c r="I21">
        <v>3.14276E-2</v>
      </c>
      <c r="L21">
        <f t="shared" si="3"/>
        <v>13</v>
      </c>
      <c r="M21" s="16">
        <f t="shared" si="0"/>
        <v>1.6761282769228725E-3</v>
      </c>
      <c r="N21">
        <v>7.6483999999999979E-3</v>
      </c>
      <c r="O21">
        <v>8.769294834058779E-3</v>
      </c>
      <c r="P21">
        <v>8.4341264178175585E-3</v>
      </c>
      <c r="Q21">
        <v>1.0723466491516787E-2</v>
      </c>
      <c r="R21">
        <v>1.4259555928244048E-2</v>
      </c>
      <c r="S21">
        <v>1.6961162697997287E-2</v>
      </c>
      <c r="T21">
        <v>2.1856890311666665E-2</v>
      </c>
      <c r="U21">
        <v>2.7862766681461166E-2</v>
      </c>
      <c r="V21">
        <v>3.2585299999999998E-2</v>
      </c>
      <c r="X21">
        <v>5</v>
      </c>
      <c r="Y21" s="8" t="s">
        <v>11</v>
      </c>
      <c r="Z21">
        <v>6.2526926879595838E-4</v>
      </c>
      <c r="AA21">
        <v>7.8013044138801671E-4</v>
      </c>
      <c r="AB21">
        <v>1.0666316883420835E-4</v>
      </c>
      <c r="AC21">
        <v>2.01593465622625E-4</v>
      </c>
      <c r="AD21">
        <f>VARP([1]Sheet1!$H$9:$H$68)</f>
        <v>3.8611166250080814E-4</v>
      </c>
      <c r="AE21">
        <v>6.8689786145695005E-4</v>
      </c>
      <c r="AF21"/>
      <c r="AG21"/>
      <c r="AI21"/>
      <c r="AJ21"/>
      <c r="AK21"/>
      <c r="AL21"/>
      <c r="AM21"/>
      <c r="AN21"/>
      <c r="AO21"/>
      <c r="AP21"/>
      <c r="BE21" s="2"/>
    </row>
    <row r="22" spans="1:57" ht="17" thickBot="1" x14ac:dyDescent="0.25">
      <c r="A22">
        <f t="shared" si="2"/>
        <v>14</v>
      </c>
      <c r="B22" s="15">
        <v>2.13</v>
      </c>
      <c r="C22" s="16">
        <f t="shared" si="1"/>
        <v>1.7579037712718293E-3</v>
      </c>
      <c r="D22">
        <v>5.6918999999999997E-3</v>
      </c>
      <c r="E22">
        <v>-2.4052199999999999E-2</v>
      </c>
      <c r="F22">
        <v>-9.3359000000000011E-3</v>
      </c>
      <c r="G22">
        <v>-1.05308E-2</v>
      </c>
      <c r="H22">
        <v>-1.7788000000000001E-3</v>
      </c>
      <c r="I22">
        <v>-2.7295600000000003E-2</v>
      </c>
      <c r="L22">
        <f t="shared" si="3"/>
        <v>14</v>
      </c>
      <c r="M22" s="16">
        <f t="shared" si="0"/>
        <v>1.7579037712718293E-3</v>
      </c>
      <c r="N22">
        <v>-9.3358999999999994E-3</v>
      </c>
      <c r="O22">
        <v>-1.0210438470629088E-2</v>
      </c>
      <c r="P22">
        <v>-9.2888410675375649E-3</v>
      </c>
      <c r="Q22">
        <v>-8.2805521882026202E-3</v>
      </c>
      <c r="R22">
        <v>-6.0205280849899828E-3</v>
      </c>
      <c r="S22">
        <v>-4.2938655887354207E-3</v>
      </c>
      <c r="T22">
        <v>-1.1648871759476031E-3</v>
      </c>
      <c r="U22">
        <v>2.6736142673293261E-3</v>
      </c>
      <c r="V22">
        <v>5.6918999999999997E-3</v>
      </c>
      <c r="X22">
        <v>6</v>
      </c>
      <c r="Y22" s="22" t="s">
        <v>12</v>
      </c>
      <c r="Z22" s="23">
        <v>2.1281292030580277E-3</v>
      </c>
      <c r="AA22" s="23">
        <v>2.658314957609367E-3</v>
      </c>
      <c r="AB22" s="23">
        <v>-1.9242937697083368E-5</v>
      </c>
      <c r="AC22" s="23">
        <v>3.8707254979858326E-4</v>
      </c>
      <c r="AD22" s="23">
        <v>6.8689786145695005E-4</v>
      </c>
      <c r="AE22" s="23">
        <f>VARP([1]Sheet1!$I$9:$I$68)</f>
        <v>2.9416461525647885E-3</v>
      </c>
      <c r="AF22"/>
      <c r="AG22"/>
      <c r="AI22"/>
      <c r="AJ22"/>
      <c r="AK22"/>
      <c r="AL22"/>
      <c r="AM22"/>
      <c r="AN22"/>
      <c r="AO22"/>
      <c r="AP22"/>
      <c r="BE22" s="2"/>
    </row>
    <row r="23" spans="1:57" x14ac:dyDescent="0.2">
      <c r="A23">
        <f t="shared" si="2"/>
        <v>15</v>
      </c>
      <c r="B23" s="15">
        <v>2.25</v>
      </c>
      <c r="C23" s="16">
        <f t="shared" si="1"/>
        <v>1.855937535336194E-3</v>
      </c>
      <c r="D23">
        <v>-6.83502E-2</v>
      </c>
      <c r="E23">
        <v>-0.1086164</v>
      </c>
      <c r="F23">
        <v>-4.7768999999999997E-3</v>
      </c>
      <c r="G23">
        <v>-1.43333E-2</v>
      </c>
      <c r="H23">
        <v>-1.39773E-2</v>
      </c>
      <c r="I23">
        <v>-2.6007500000000003E-2</v>
      </c>
      <c r="L23">
        <f t="shared" si="3"/>
        <v>15</v>
      </c>
      <c r="M23" s="16">
        <f t="shared" si="0"/>
        <v>1.855937535336194E-3</v>
      </c>
      <c r="N23">
        <v>-4.7768999999999989E-3</v>
      </c>
      <c r="O23">
        <v>-1.1281496090940819E-2</v>
      </c>
      <c r="P23">
        <v>-1.1703042759147483E-2</v>
      </c>
      <c r="Q23">
        <v>-2.1826064168072777E-2</v>
      </c>
      <c r="R23">
        <v>-2.9351201274504524E-2</v>
      </c>
      <c r="S23">
        <v>-3.5100488100613801E-2</v>
      </c>
      <c r="T23">
        <v>-4.5519081431300339E-2</v>
      </c>
      <c r="U23">
        <v>-5.8300181285908109E-2</v>
      </c>
      <c r="V23">
        <v>-6.83502E-2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BE23" s="2"/>
    </row>
    <row r="24" spans="1:57" x14ac:dyDescent="0.2">
      <c r="A24">
        <f t="shared" si="2"/>
        <v>16</v>
      </c>
      <c r="B24" s="15">
        <v>2.33</v>
      </c>
      <c r="C24" s="16">
        <f t="shared" si="1"/>
        <v>1.921234803683225E-3</v>
      </c>
      <c r="D24">
        <v>2.0378400000000001E-2</v>
      </c>
      <c r="E24">
        <v>1.58949E-2</v>
      </c>
      <c r="F24">
        <v>8.8766000000000001E-3</v>
      </c>
      <c r="G24">
        <v>4.7774000000000002E-3</v>
      </c>
      <c r="H24">
        <v>-3.0606000000000001E-3</v>
      </c>
      <c r="I24">
        <v>4.7991300000000001E-2</v>
      </c>
      <c r="L24">
        <f t="shared" si="3"/>
        <v>16</v>
      </c>
      <c r="M24" s="16">
        <f t="shared" si="0"/>
        <v>1.921234803683225E-3</v>
      </c>
      <c r="N24">
        <v>8.8765999999999984E-3</v>
      </c>
      <c r="O24">
        <v>7.9085112709466766E-3</v>
      </c>
      <c r="P24">
        <v>7.4463922602675129E-3</v>
      </c>
      <c r="Q24">
        <v>6.9414274377307466E-3</v>
      </c>
      <c r="R24">
        <v>9.1148254683912841E-3</v>
      </c>
      <c r="S24">
        <v>1.0775317347305666E-2</v>
      </c>
      <c r="T24">
        <v>1.3784384408763121E-2</v>
      </c>
      <c r="U24">
        <v>1.7475783560357085E-2</v>
      </c>
      <c r="V24">
        <v>2.0378400000000001E-2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BE24" s="2"/>
    </row>
    <row r="25" spans="1:57" ht="17" thickBot="1" x14ac:dyDescent="0.25">
      <c r="A25">
        <f t="shared" si="2"/>
        <v>17</v>
      </c>
      <c r="B25" s="15">
        <v>2.37</v>
      </c>
      <c r="C25" s="16">
        <f t="shared" si="1"/>
        <v>1.9538658918776264E-3</v>
      </c>
      <c r="D25">
        <v>-9.0290900000000007E-2</v>
      </c>
      <c r="E25">
        <v>-0.118786</v>
      </c>
      <c r="F25">
        <v>2.15143E-2</v>
      </c>
      <c r="G25">
        <v>5.4645999999999991E-3</v>
      </c>
      <c r="H25">
        <v>9.1871999999999995E-3</v>
      </c>
      <c r="I25">
        <v>-8.1551100000000001E-2</v>
      </c>
      <c r="L25">
        <f t="shared" si="3"/>
        <v>17</v>
      </c>
      <c r="M25" s="16">
        <f t="shared" si="0"/>
        <v>1.9538658918776264E-3</v>
      </c>
      <c r="N25">
        <v>2.1514299999999997E-2</v>
      </c>
      <c r="O25">
        <v>1.1794882920024417E-2</v>
      </c>
      <c r="P25">
        <v>9.6819281605820609E-3</v>
      </c>
      <c r="Q25">
        <v>-7.8177595697060832E-3</v>
      </c>
      <c r="R25">
        <v>-2.115756168441392E-2</v>
      </c>
      <c r="S25">
        <v>-3.1349294913783389E-2</v>
      </c>
      <c r="T25">
        <v>-4.9818285427428818E-2</v>
      </c>
      <c r="U25">
        <v>-7.2475279944476154E-2</v>
      </c>
      <c r="V25">
        <v>-9.0290900000000007E-2</v>
      </c>
      <c r="Y25" t="s">
        <v>28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BE25" s="2"/>
    </row>
    <row r="26" spans="1:57" ht="18" customHeight="1" x14ac:dyDescent="0.2">
      <c r="A26">
        <f t="shared" si="2"/>
        <v>18</v>
      </c>
      <c r="B26" s="15">
        <v>2.37</v>
      </c>
      <c r="C26" s="16">
        <f t="shared" si="1"/>
        <v>1.9538658918776264E-3</v>
      </c>
      <c r="D26">
        <v>8.0135799999999993E-2</v>
      </c>
      <c r="E26">
        <v>0.1124985</v>
      </c>
      <c r="F26">
        <v>4.7052999999999999E-3</v>
      </c>
      <c r="G26">
        <v>1.3453E-2</v>
      </c>
      <c r="H26">
        <v>2.47566E-2</v>
      </c>
      <c r="I26">
        <v>0.1178361</v>
      </c>
      <c r="L26">
        <f t="shared" si="3"/>
        <v>18</v>
      </c>
      <c r="M26" s="16">
        <f t="shared" si="0"/>
        <v>1.9538658918776264E-3</v>
      </c>
      <c r="N26">
        <v>4.7052999999999991E-3</v>
      </c>
      <c r="O26">
        <v>1.1109697349742364E-2</v>
      </c>
      <c r="P26">
        <v>1.1730311749382615E-2</v>
      </c>
      <c r="Q26">
        <v>2.2702658746716897E-2</v>
      </c>
      <c r="R26">
        <v>3.1992303571799385E-2</v>
      </c>
      <c r="S26">
        <v>3.9089685012942479E-2</v>
      </c>
      <c r="T26">
        <v>5.1951233442258146E-2</v>
      </c>
      <c r="U26">
        <v>6.7729249681339601E-2</v>
      </c>
      <c r="V26">
        <v>8.0135799999999993E-2</v>
      </c>
      <c r="Y26" s="24"/>
      <c r="Z26" s="25" t="s">
        <v>7</v>
      </c>
      <c r="AA26" s="25" t="s">
        <v>8</v>
      </c>
      <c r="AB26" s="25" t="s">
        <v>26</v>
      </c>
      <c r="AC26" s="25" t="s">
        <v>10</v>
      </c>
      <c r="AD26" s="25" t="s">
        <v>11</v>
      </c>
      <c r="AE26" s="25" t="s">
        <v>12</v>
      </c>
      <c r="AF26" s="26"/>
      <c r="AG26" s="27"/>
      <c r="AH26" s="28"/>
      <c r="AI26" s="28"/>
      <c r="AJ26" s="28"/>
      <c r="AK26" s="28"/>
      <c r="AL26" s="28"/>
      <c r="AM26" s="28"/>
      <c r="AN26" s="29"/>
      <c r="AO26"/>
      <c r="AP26"/>
      <c r="BE26" s="2"/>
    </row>
    <row r="27" spans="1:57" ht="15.75" customHeight="1" x14ac:dyDescent="0.2">
      <c r="A27">
        <f t="shared" si="2"/>
        <v>19</v>
      </c>
      <c r="B27" s="15">
        <v>2.39</v>
      </c>
      <c r="C27" s="16">
        <f t="shared" si="1"/>
        <v>1.970177053312705E-3</v>
      </c>
      <c r="D27">
        <v>3.2108200000000003E-2</v>
      </c>
      <c r="E27">
        <v>5.1987800000000001E-2</v>
      </c>
      <c r="F27">
        <v>-2.7087000000000001E-3</v>
      </c>
      <c r="G27">
        <v>-1.3019999999999999E-4</v>
      </c>
      <c r="H27">
        <v>5.6352999999999993E-3</v>
      </c>
      <c r="I27">
        <v>4.2715000000000001E-3</v>
      </c>
      <c r="L27">
        <f t="shared" si="3"/>
        <v>19</v>
      </c>
      <c r="M27" s="16">
        <f t="shared" si="0"/>
        <v>1.970177053312705E-3</v>
      </c>
      <c r="N27">
        <v>-2.7086999999999996E-3</v>
      </c>
      <c r="O27">
        <v>-1.0858047010452284E-5</v>
      </c>
      <c r="P27">
        <v>-1.3795545035018915E-4</v>
      </c>
      <c r="Q27">
        <v>4.3416335193311936E-3</v>
      </c>
      <c r="R27">
        <v>8.8327932196773009E-3</v>
      </c>
      <c r="S27">
        <v>1.2264086174564514E-2</v>
      </c>
      <c r="T27">
        <v>1.8482117554225304E-2</v>
      </c>
      <c r="U27">
        <v>2.6110141553247597E-2</v>
      </c>
      <c r="V27">
        <v>3.2108200000000003E-2</v>
      </c>
      <c r="X27">
        <v>1</v>
      </c>
      <c r="Y27" s="8" t="s">
        <v>7</v>
      </c>
      <c r="Z27">
        <v>1</v>
      </c>
      <c r="AA27"/>
      <c r="AB27"/>
      <c r="AC27"/>
      <c r="AD27"/>
      <c r="AE27"/>
      <c r="AF27" s="30"/>
      <c r="AG27"/>
      <c r="AH27"/>
      <c r="AI27"/>
      <c r="AJ27"/>
      <c r="AK27"/>
      <c r="AL27"/>
      <c r="AM27"/>
      <c r="AN27"/>
      <c r="AO27"/>
      <c r="AP27"/>
      <c r="BD27" s="2"/>
    </row>
    <row r="28" spans="1:57" ht="15.75" customHeight="1" x14ac:dyDescent="0.2">
      <c r="A28">
        <f t="shared" si="2"/>
        <v>20</v>
      </c>
      <c r="B28" s="15">
        <v>2.4</v>
      </c>
      <c r="C28" s="16">
        <f t="shared" si="1"/>
        <v>1.9783315388433032E-3</v>
      </c>
      <c r="D28">
        <v>1.94317E-2</v>
      </c>
      <c r="E28">
        <v>-2.0929299999999998E-2</v>
      </c>
      <c r="F28">
        <v>1.9091400000000001E-2</v>
      </c>
      <c r="G28">
        <v>1.8380899999999999E-2</v>
      </c>
      <c r="H28">
        <v>2.25582E-2</v>
      </c>
      <c r="I28">
        <v>3.1322500000000003E-2</v>
      </c>
      <c r="L28">
        <f t="shared" si="3"/>
        <v>20</v>
      </c>
      <c r="M28" s="16">
        <f t="shared" si="0"/>
        <v>1.9783315388433032E-3</v>
      </c>
      <c r="N28">
        <v>1.9091399999999998E-2</v>
      </c>
      <c r="O28">
        <v>1.7466352901487979E-2</v>
      </c>
      <c r="P28">
        <v>1.8777807512173221E-2</v>
      </c>
      <c r="Q28">
        <v>1.8526631547440643E-2</v>
      </c>
      <c r="R28">
        <v>1.8673045803614226E-2</v>
      </c>
      <c r="S28">
        <v>1.878488766415904E-2</v>
      </c>
      <c r="T28">
        <v>1.8987562343229812E-2</v>
      </c>
      <c r="U28">
        <v>1.9236195266022896E-2</v>
      </c>
      <c r="V28">
        <v>1.94317E-2</v>
      </c>
      <c r="X28">
        <f>X27+1</f>
        <v>2</v>
      </c>
      <c r="Y28" s="8" t="s">
        <v>8</v>
      </c>
      <c r="Z28">
        <v>0.89372847152756196</v>
      </c>
      <c r="AA28">
        <v>1</v>
      </c>
      <c r="AB28"/>
      <c r="AC28"/>
      <c r="AD28"/>
      <c r="AE28"/>
      <c r="AF28" s="30"/>
      <c r="AG28"/>
      <c r="AH28"/>
      <c r="AI28"/>
      <c r="AJ28"/>
      <c r="AK28"/>
      <c r="AL28"/>
      <c r="AM28"/>
      <c r="AN28"/>
      <c r="AO28"/>
      <c r="AP28"/>
      <c r="BD28" s="2"/>
    </row>
    <row r="29" spans="1:57" ht="15.75" customHeight="1" x14ac:dyDescent="0.2">
      <c r="A29">
        <f t="shared" si="2"/>
        <v>21</v>
      </c>
      <c r="B29" s="15">
        <v>2.38</v>
      </c>
      <c r="C29" s="16">
        <f t="shared" si="1"/>
        <v>1.9620218377029985E-3</v>
      </c>
      <c r="D29">
        <v>4.0489699999999997E-2</v>
      </c>
      <c r="E29">
        <v>3.3970600000000004E-2</v>
      </c>
      <c r="F29">
        <v>-2.7764999999999999E-3</v>
      </c>
      <c r="G29">
        <v>3.3243999999999999E-3</v>
      </c>
      <c r="H29">
        <v>6.8454000000000006E-3</v>
      </c>
      <c r="I29">
        <v>-2.8077999999999996E-3</v>
      </c>
      <c r="L29">
        <f t="shared" si="3"/>
        <v>21</v>
      </c>
      <c r="M29" s="16">
        <f t="shared" si="0"/>
        <v>1.9620218377029985E-3</v>
      </c>
      <c r="N29">
        <v>-2.7764999999999995E-3</v>
      </c>
      <c r="O29">
        <v>3.3202561862157314E-4</v>
      </c>
      <c r="P29">
        <v>1.7517340658909813E-3</v>
      </c>
      <c r="Q29">
        <v>8.4796317615043575E-3</v>
      </c>
      <c r="R29">
        <v>1.3657181152516028E-2</v>
      </c>
      <c r="S29">
        <v>1.7612868533287664E-2</v>
      </c>
      <c r="T29">
        <v>2.4781183388693288E-2</v>
      </c>
      <c r="U29">
        <v>3.3574975894861803E-2</v>
      </c>
      <c r="V29">
        <v>4.0489699999999997E-2</v>
      </c>
      <c r="X29">
        <f>X28+1</f>
        <v>3</v>
      </c>
      <c r="Y29" s="8" t="s">
        <v>26</v>
      </c>
      <c r="Z29">
        <v>-0.10077517065306237</v>
      </c>
      <c r="AA29">
        <v>-0.18941351180967991</v>
      </c>
      <c r="AB29">
        <v>1</v>
      </c>
      <c r="AC29"/>
      <c r="AD29"/>
      <c r="AE29"/>
      <c r="AF29" s="30"/>
      <c r="AG29"/>
      <c r="AH29"/>
      <c r="AI29"/>
      <c r="AJ29"/>
      <c r="AK29"/>
      <c r="AL29"/>
      <c r="AM29"/>
      <c r="AN29"/>
      <c r="AO29"/>
      <c r="AP29"/>
      <c r="BD29" s="2"/>
    </row>
    <row r="30" spans="1:57" ht="15.75" customHeight="1" x14ac:dyDescent="0.2">
      <c r="A30">
        <f t="shared" si="2"/>
        <v>22</v>
      </c>
      <c r="B30" s="15">
        <v>2.35</v>
      </c>
      <c r="C30" s="16">
        <f t="shared" si="1"/>
        <v>1.937551809032545E-3</v>
      </c>
      <c r="D30">
        <v>-6.3548199999999999E-2</v>
      </c>
      <c r="E30">
        <v>-7.77727E-2</v>
      </c>
      <c r="F30">
        <v>2.35018E-2</v>
      </c>
      <c r="G30">
        <v>1.6522499999999999E-2</v>
      </c>
      <c r="H30">
        <v>1.02813E-2</v>
      </c>
      <c r="I30">
        <v>-6.1269999999999999E-4</v>
      </c>
      <c r="L30">
        <f t="shared" si="3"/>
        <v>22</v>
      </c>
      <c r="M30" s="16">
        <f t="shared" si="0"/>
        <v>1.937551809032545E-3</v>
      </c>
      <c r="N30">
        <v>2.3501799999999993E-2</v>
      </c>
      <c r="O30">
        <v>1.7852391148747249E-2</v>
      </c>
      <c r="P30">
        <v>1.6829213260248176E-2</v>
      </c>
      <c r="Q30">
        <v>5.4158039180841853E-3</v>
      </c>
      <c r="R30">
        <v>-5.7389379496133545E-3</v>
      </c>
      <c r="S30">
        <v>-1.4261260050055504E-2</v>
      </c>
      <c r="T30">
        <v>-2.9705020447327035E-2</v>
      </c>
      <c r="U30">
        <v>-4.8650787644784546E-2</v>
      </c>
      <c r="V30">
        <v>-6.3548199999999999E-2</v>
      </c>
      <c r="X30">
        <f>X29+1</f>
        <v>4</v>
      </c>
      <c r="Y30" s="8" t="s">
        <v>10</v>
      </c>
      <c r="Z30">
        <v>0.46785394647826845</v>
      </c>
      <c r="AA30">
        <v>0.38695003321177007</v>
      </c>
      <c r="AB30">
        <v>0.65015206710636453</v>
      </c>
      <c r="AC30">
        <v>1</v>
      </c>
      <c r="AD30"/>
      <c r="AE30"/>
      <c r="AF30" s="30"/>
      <c r="AG30"/>
      <c r="AH30"/>
      <c r="AI30"/>
      <c r="AJ30"/>
      <c r="AK30"/>
      <c r="AL30"/>
      <c r="AM30"/>
      <c r="AN30"/>
      <c r="AO30"/>
      <c r="AP30"/>
      <c r="BD30" s="2"/>
    </row>
    <row r="31" spans="1:57" ht="15.75" customHeight="1" x14ac:dyDescent="0.2">
      <c r="A31">
        <f t="shared" si="2"/>
        <v>23</v>
      </c>
      <c r="B31" s="15">
        <v>2.17</v>
      </c>
      <c r="C31" s="16">
        <f t="shared" si="1"/>
        <v>1.7905934192179451E-3</v>
      </c>
      <c r="D31">
        <v>7.0476299999999992E-2</v>
      </c>
      <c r="E31">
        <v>7.0677299999999998E-2</v>
      </c>
      <c r="F31">
        <v>9.2269999999999991E-3</v>
      </c>
      <c r="G31">
        <v>8.5745000000000005E-3</v>
      </c>
      <c r="H31">
        <v>2.3220399999999999E-2</v>
      </c>
      <c r="I31">
        <v>1.2583E-2</v>
      </c>
      <c r="L31">
        <f t="shared" si="3"/>
        <v>23</v>
      </c>
      <c r="M31" s="16">
        <f t="shared" si="0"/>
        <v>1.7905934192179451E-3</v>
      </c>
      <c r="N31">
        <v>9.2269999999999974E-3</v>
      </c>
      <c r="O31">
        <v>1.120497385482979E-2</v>
      </c>
      <c r="P31">
        <v>1.1360588841780699E-2</v>
      </c>
      <c r="Q31">
        <v>1.7160960756148362E-2</v>
      </c>
      <c r="R31">
        <v>2.5784579088472759E-2</v>
      </c>
      <c r="S31">
        <v>3.2373094965030956E-2</v>
      </c>
      <c r="T31">
        <v>4.4312500607292665E-2</v>
      </c>
      <c r="U31">
        <v>5.8959270173483229E-2</v>
      </c>
      <c r="V31">
        <v>7.0476299999999992E-2</v>
      </c>
      <c r="X31">
        <f>X30+1</f>
        <v>5</v>
      </c>
      <c r="Y31" s="8" t="s">
        <v>11</v>
      </c>
      <c r="Z31">
        <v>0.64128340442023557</v>
      </c>
      <c r="AA31">
        <v>0.61734827075686349</v>
      </c>
      <c r="AB31">
        <v>0.41978515061775351</v>
      </c>
      <c r="AC31">
        <v>0.76926155685698994</v>
      </c>
      <c r="AD31">
        <v>1</v>
      </c>
      <c r="AE31"/>
      <c r="AF31" s="30"/>
      <c r="AG31"/>
      <c r="AH31"/>
      <c r="AI31"/>
      <c r="AJ31"/>
      <c r="AK31"/>
      <c r="AL31"/>
      <c r="AM31"/>
      <c r="AN31"/>
      <c r="AO31"/>
      <c r="AP31"/>
      <c r="BD31" s="2"/>
    </row>
    <row r="32" spans="1:57" ht="15.75" customHeight="1" x14ac:dyDescent="0.2">
      <c r="A32">
        <f t="shared" si="2"/>
        <v>24</v>
      </c>
      <c r="B32" s="15">
        <v>2.1</v>
      </c>
      <c r="C32" s="16">
        <f t="shared" si="1"/>
        <v>1.73337883251512E-3</v>
      </c>
      <c r="D32">
        <v>1.43721E-2</v>
      </c>
      <c r="E32">
        <v>5.7572999999999999E-3</v>
      </c>
      <c r="F32">
        <v>-1.1754000000000001E-3</v>
      </c>
      <c r="G32">
        <v>3.5537000000000003E-3</v>
      </c>
      <c r="H32">
        <v>6.3441000000000001E-3</v>
      </c>
      <c r="I32">
        <v>1.3878699999999999E-2</v>
      </c>
      <c r="L32">
        <f t="shared" si="3"/>
        <v>24</v>
      </c>
      <c r="M32" s="16">
        <f t="shared" si="0"/>
        <v>1.73337883251512E-3</v>
      </c>
      <c r="N32">
        <v>-1.1753999999999998E-3</v>
      </c>
      <c r="O32">
        <v>4.7256506925179623E-4</v>
      </c>
      <c r="P32">
        <v>1.6197339839780418E-3</v>
      </c>
      <c r="Q32">
        <v>5.0543255470223807E-3</v>
      </c>
      <c r="R32">
        <v>6.5614561494291568E-3</v>
      </c>
      <c r="S32">
        <v>7.7129121678156266E-3</v>
      </c>
      <c r="T32">
        <v>9.7995278397386681E-3</v>
      </c>
      <c r="U32">
        <v>1.2359301737668551E-2</v>
      </c>
      <c r="V32">
        <v>1.43721E-2</v>
      </c>
      <c r="X32">
        <v>6</v>
      </c>
      <c r="Y32" s="8" t="s">
        <v>12</v>
      </c>
      <c r="Z32">
        <v>0.79075537517281813</v>
      </c>
      <c r="AA32">
        <v>0.76213286634610422</v>
      </c>
      <c r="AB32">
        <v>-2.743754236802546E-2</v>
      </c>
      <c r="AC32">
        <v>0.53512001658552089</v>
      </c>
      <c r="AD32">
        <v>0.64452607080603908</v>
      </c>
      <c r="AE32">
        <v>1</v>
      </c>
      <c r="AF32" s="30"/>
      <c r="AG32"/>
      <c r="AH32"/>
      <c r="AI32"/>
      <c r="AJ32"/>
      <c r="AK32"/>
      <c r="AL32"/>
      <c r="AM32"/>
      <c r="AN32"/>
      <c r="AO32"/>
      <c r="AP32"/>
      <c r="BD32" s="2"/>
    </row>
    <row r="33" spans="1:56" ht="15.75" customHeight="1" x14ac:dyDescent="0.2">
      <c r="A33">
        <f t="shared" si="2"/>
        <v>25</v>
      </c>
      <c r="B33" s="15">
        <v>1.95</v>
      </c>
      <c r="C33" s="16">
        <f t="shared" si="1"/>
        <v>1.6106549662961989E-3</v>
      </c>
      <c r="D33">
        <v>-1.5840300000000002E-2</v>
      </c>
      <c r="E33">
        <v>-4.9374200000000007E-2</v>
      </c>
      <c r="F33">
        <v>3.3994099999999999E-2</v>
      </c>
      <c r="G33">
        <v>2.3798499999999997E-2</v>
      </c>
      <c r="H33">
        <v>2.6517499999999999E-2</v>
      </c>
      <c r="I33">
        <v>3.0211399999999999E-2</v>
      </c>
      <c r="L33">
        <f t="shared" si="3"/>
        <v>25</v>
      </c>
      <c r="M33" s="16">
        <f t="shared" si="0"/>
        <v>1.6106549662961989E-3</v>
      </c>
      <c r="N33">
        <v>3.3994099999999992E-2</v>
      </c>
      <c r="O33">
        <v>2.8023291104055072E-2</v>
      </c>
      <c r="P33">
        <v>2.7319641749472878E-2</v>
      </c>
      <c r="Q33">
        <v>1.8300140804157268E-2</v>
      </c>
      <c r="R33">
        <v>1.2778030757229122E-2</v>
      </c>
      <c r="S33">
        <v>8.5590764921231327E-3</v>
      </c>
      <c r="T33">
        <v>9.1368148951480321E-4</v>
      </c>
      <c r="U33">
        <v>-8.465373230708435E-3</v>
      </c>
      <c r="V33">
        <v>-1.5840300000000002E-2</v>
      </c>
      <c r="Y33" s="8"/>
      <c r="Z33" s="30"/>
      <c r="AA33" s="30"/>
      <c r="AB33" s="30"/>
      <c r="AC33" s="30"/>
      <c r="AD33" s="30"/>
      <c r="AE33" s="30"/>
      <c r="AF33" s="30"/>
      <c r="AG33"/>
      <c r="AH33"/>
      <c r="AI33"/>
      <c r="AJ33"/>
      <c r="AK33"/>
      <c r="AL33"/>
      <c r="AM33"/>
      <c r="AN33"/>
      <c r="AO33"/>
      <c r="AP33"/>
      <c r="BD33" s="2"/>
    </row>
    <row r="34" spans="1:56" ht="15.75" customHeight="1" x14ac:dyDescent="0.2">
      <c r="A34">
        <f t="shared" si="2"/>
        <v>26</v>
      </c>
      <c r="B34" s="15">
        <v>1.89</v>
      </c>
      <c r="C34" s="16">
        <f t="shared" si="1"/>
        <v>1.5615190697231274E-3</v>
      </c>
      <c r="D34">
        <v>1.8710400000000002E-2</v>
      </c>
      <c r="E34">
        <v>2.0806499999999999E-2</v>
      </c>
      <c r="F34">
        <v>-8.4583999999999996E-3</v>
      </c>
      <c r="G34">
        <v>-1.3612299999999999E-2</v>
      </c>
      <c r="H34">
        <v>-4.8614000000000001E-3</v>
      </c>
      <c r="I34">
        <v>2.83343E-2</v>
      </c>
      <c r="L34">
        <f t="shared" si="3"/>
        <v>26</v>
      </c>
      <c r="M34" s="16">
        <f t="shared" si="0"/>
        <v>1.5615190697231274E-3</v>
      </c>
      <c r="N34">
        <v>-8.4583999999999979E-3</v>
      </c>
      <c r="O34">
        <v>-8.9532276623254855E-3</v>
      </c>
      <c r="P34">
        <v>-9.75159909162354E-3</v>
      </c>
      <c r="Q34">
        <v>-9.1287845869233147E-3</v>
      </c>
      <c r="R34">
        <v>-4.6258695027773236E-3</v>
      </c>
      <c r="S34">
        <v>-1.185604080394748E-3</v>
      </c>
      <c r="T34">
        <v>5.0486867924573881E-3</v>
      </c>
      <c r="U34">
        <v>1.2696657265967172E-2</v>
      </c>
      <c r="V34">
        <v>1.8710400000000002E-2</v>
      </c>
      <c r="Y34" s="8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BD34" s="2"/>
    </row>
    <row r="35" spans="1:56" ht="15.75" customHeight="1" x14ac:dyDescent="0.2">
      <c r="A35">
        <f t="shared" si="2"/>
        <v>27</v>
      </c>
      <c r="B35" s="15">
        <v>1.65</v>
      </c>
      <c r="C35" s="16">
        <f t="shared" si="1"/>
        <v>1.364709877352599E-3</v>
      </c>
      <c r="D35">
        <v>2.16597E-2</v>
      </c>
      <c r="E35">
        <v>2.63363E-2</v>
      </c>
      <c r="F35">
        <v>6.8150000000000003E-4</v>
      </c>
      <c r="G35">
        <v>2.5573000000000002E-3</v>
      </c>
      <c r="H35">
        <v>5.5798000000000002E-3</v>
      </c>
      <c r="I35">
        <v>1.3644700000000001E-2</v>
      </c>
      <c r="L35">
        <f t="shared" si="3"/>
        <v>27</v>
      </c>
      <c r="M35" s="16">
        <f t="shared" si="0"/>
        <v>1.364709877352599E-3</v>
      </c>
      <c r="N35">
        <v>6.8149999999999992E-4</v>
      </c>
      <c r="O35">
        <v>2.1445882312571473E-3</v>
      </c>
      <c r="P35">
        <v>2.3787803674518407E-3</v>
      </c>
      <c r="Q35">
        <v>5.2070160302807728E-3</v>
      </c>
      <c r="R35">
        <v>7.8681926522272717E-3</v>
      </c>
      <c r="S35">
        <v>9.9013559153369943E-3</v>
      </c>
      <c r="T35">
        <v>1.3585760930065806E-2</v>
      </c>
      <c r="U35">
        <v>1.810563678119128E-2</v>
      </c>
      <c r="V35">
        <v>2.16597E-2</v>
      </c>
      <c r="Y35" s="31" t="s">
        <v>29</v>
      </c>
      <c r="Z35" s="32">
        <f>MIN(Z27:AE32)</f>
        <v>-0.18941351180967991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BD35" s="2"/>
    </row>
    <row r="36" spans="1:56" ht="15.75" customHeight="1" x14ac:dyDescent="0.2">
      <c r="A36">
        <f t="shared" si="2"/>
        <v>28</v>
      </c>
      <c r="B36" s="15">
        <v>1.54</v>
      </c>
      <c r="C36" s="16">
        <f t="shared" si="1"/>
        <v>1.2743632726075482E-3</v>
      </c>
      <c r="D36">
        <v>3.6298900000000002E-2</v>
      </c>
      <c r="E36">
        <v>4.1164800000000001E-2</v>
      </c>
      <c r="F36">
        <v>-3.0080000000000003E-3</v>
      </c>
      <c r="G36">
        <v>1.5249999999999999E-3</v>
      </c>
      <c r="H36">
        <v>2.2450999999999999E-3</v>
      </c>
      <c r="I36">
        <v>-1.5051799999999999E-2</v>
      </c>
      <c r="L36">
        <f t="shared" si="3"/>
        <v>28</v>
      </c>
      <c r="M36" s="16">
        <f t="shared" si="0"/>
        <v>1.2743632726075482E-3</v>
      </c>
      <c r="N36">
        <v>-3.0079999999999994E-3</v>
      </c>
      <c r="O36">
        <v>-1.0220923810039522E-4</v>
      </c>
      <c r="P36">
        <v>6.4102986084947492E-4</v>
      </c>
      <c r="Q36">
        <v>6.3485256004948056E-3</v>
      </c>
      <c r="R36">
        <v>1.1192918690807747E-2</v>
      </c>
      <c r="S36">
        <v>1.4894077497819007E-2</v>
      </c>
      <c r="T36">
        <v>2.1601147370802376E-2</v>
      </c>
      <c r="U36">
        <v>2.9829103588840531E-2</v>
      </c>
      <c r="V36">
        <v>3.6298900000000002E-2</v>
      </c>
      <c r="Y36" s="33" t="s">
        <v>30</v>
      </c>
      <c r="Z36" s="34">
        <f>MAX(Z28:Z32,AA29:AA32,AB30:AB32,AC31:AC32,AD32)</f>
        <v>0.89372847152756196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BD36" s="2"/>
    </row>
    <row r="37" spans="1:56" ht="15.75" customHeight="1" x14ac:dyDescent="0.2">
      <c r="A37">
        <f t="shared" si="2"/>
        <v>29</v>
      </c>
      <c r="B37" s="15">
        <v>1.54</v>
      </c>
      <c r="C37" s="16">
        <f t="shared" si="1"/>
        <v>1.2743632726075482E-3</v>
      </c>
      <c r="D37">
        <v>3.0182E-2</v>
      </c>
      <c r="E37">
        <v>2.8834499999999999E-2</v>
      </c>
      <c r="F37">
        <v>-5.6130999999999993E-3</v>
      </c>
      <c r="G37">
        <v>3.7913000000000001E-3</v>
      </c>
      <c r="H37">
        <v>5.6713000000000006E-3</v>
      </c>
      <c r="I37">
        <v>-6.2595999999999997E-3</v>
      </c>
      <c r="L37">
        <f t="shared" si="3"/>
        <v>29</v>
      </c>
      <c r="M37" s="16">
        <f t="shared" si="0"/>
        <v>1.2743632726075482E-3</v>
      </c>
      <c r="N37">
        <v>-5.6130999999999985E-3</v>
      </c>
      <c r="O37">
        <v>-1.6057903577331146E-3</v>
      </c>
      <c r="P37">
        <v>1.3917678104018237E-4</v>
      </c>
      <c r="Q37">
        <v>7.4519795406285897E-3</v>
      </c>
      <c r="R37">
        <v>1.1128502378608667E-2</v>
      </c>
      <c r="S37">
        <v>1.393739559243257E-2</v>
      </c>
      <c r="T37">
        <v>1.9027542768818979E-2</v>
      </c>
      <c r="U37">
        <v>2.5271925025723712E-2</v>
      </c>
      <c r="V37">
        <v>3.0182E-2</v>
      </c>
      <c r="Y37" s="35" t="s">
        <v>31</v>
      </c>
      <c r="Z37" s="36">
        <f>AVERAGE(Z28:Z32,AA29:AA32,AB30:AB32,AC31:AC32,AD32)</f>
        <v>0.48408473367036814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BD37" s="2"/>
    </row>
    <row r="38" spans="1:56" ht="15.75" customHeight="1" x14ac:dyDescent="0.2">
      <c r="A38">
        <f t="shared" si="2"/>
        <v>30</v>
      </c>
      <c r="B38" s="15">
        <v>1.52</v>
      </c>
      <c r="C38" s="16">
        <f t="shared" si="1"/>
        <v>1.2579269787644787E-3</v>
      </c>
      <c r="D38">
        <v>-3.9210000000000004E-4</v>
      </c>
      <c r="E38">
        <v>-3.2071500000000003E-2</v>
      </c>
      <c r="F38">
        <v>2.44382E-2</v>
      </c>
      <c r="G38">
        <v>2.09967E-2</v>
      </c>
      <c r="H38">
        <v>2.0312399999999998E-2</v>
      </c>
      <c r="I38">
        <v>1.1291000000000001E-2</v>
      </c>
      <c r="L38">
        <f t="shared" si="3"/>
        <v>30</v>
      </c>
      <c r="M38" s="16">
        <f t="shared" si="0"/>
        <v>1.2579269787644787E-3</v>
      </c>
      <c r="N38">
        <v>2.4438199999999993E-2</v>
      </c>
      <c r="O38">
        <v>2.142025767502613E-2</v>
      </c>
      <c r="P38">
        <v>2.1866988359963768E-2</v>
      </c>
      <c r="Q38">
        <v>1.8029817761379428E-2</v>
      </c>
      <c r="R38">
        <v>1.5050137224644093E-2</v>
      </c>
      <c r="S38">
        <v>1.2773621059031031E-2</v>
      </c>
      <c r="T38">
        <v>8.6482230996633158E-3</v>
      </c>
      <c r="U38">
        <v>3.5873553236481295E-3</v>
      </c>
      <c r="V38">
        <v>-3.9210000000000004E-4</v>
      </c>
      <c r="Y38" s="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BD38" s="2"/>
    </row>
    <row r="39" spans="1:56" ht="15.75" customHeight="1" x14ac:dyDescent="0.2">
      <c r="A39">
        <f t="shared" si="2"/>
        <v>31</v>
      </c>
      <c r="B39" s="15">
        <v>1.52</v>
      </c>
      <c r="C39" s="16">
        <f t="shared" si="1"/>
        <v>1.2579269787644787E-3</v>
      </c>
      <c r="D39">
        <v>-8.2319200000000009E-2</v>
      </c>
      <c r="E39">
        <v>-8.4182199999999999E-2</v>
      </c>
      <c r="F39">
        <v>2.6505399999999998E-2</v>
      </c>
      <c r="G39">
        <v>1.3840600000000002E-2</v>
      </c>
      <c r="H39">
        <v>8.8783000000000004E-3</v>
      </c>
      <c r="I39">
        <v>-7.9273700000000002E-2</v>
      </c>
      <c r="L39">
        <f t="shared" si="3"/>
        <v>31</v>
      </c>
      <c r="M39" s="16">
        <f t="shared" si="0"/>
        <v>1.2579269787644787E-3</v>
      </c>
      <c r="N39">
        <v>2.6505399999999991E-2</v>
      </c>
      <c r="O39">
        <v>1.8836639143194528E-2</v>
      </c>
      <c r="P39">
        <v>1.6349890337272084E-2</v>
      </c>
      <c r="Q39">
        <v>5.0217671034744581E-4</v>
      </c>
      <c r="R39">
        <v>-1.2893966089059173E-2</v>
      </c>
      <c r="S39">
        <v>-2.3128730974517786E-2</v>
      </c>
      <c r="T39">
        <v>-4.1675701477455286E-2</v>
      </c>
      <c r="U39">
        <v>-6.4428358623628293E-2</v>
      </c>
      <c r="V39">
        <v>-8.2319200000000009E-2</v>
      </c>
      <c r="Y39" s="8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BD39" s="2"/>
    </row>
    <row r="40" spans="1:56" ht="15.75" customHeight="1" x14ac:dyDescent="0.2">
      <c r="A40">
        <f t="shared" si="2"/>
        <v>32</v>
      </c>
      <c r="B40" s="15">
        <v>0.28999999999999998</v>
      </c>
      <c r="C40" s="16">
        <f t="shared" si="1"/>
        <v>2.4134604527370485E-4</v>
      </c>
      <c r="D40">
        <v>-0.12351290000000001</v>
      </c>
      <c r="E40">
        <v>-0.21726479999999998</v>
      </c>
      <c r="F40">
        <v>2.8923199999999996E-2</v>
      </c>
      <c r="G40">
        <v>-1.7581199999999998E-2</v>
      </c>
      <c r="H40">
        <v>-8.0808199999999997E-2</v>
      </c>
      <c r="I40">
        <v>-0.21714420000000001</v>
      </c>
      <c r="L40">
        <f t="shared" si="3"/>
        <v>32</v>
      </c>
      <c r="M40" s="16">
        <f t="shared" si="0"/>
        <v>2.4134604527370485E-4</v>
      </c>
      <c r="N40">
        <v>2.8923199999999989E-2</v>
      </c>
      <c r="O40">
        <v>6.4269390113763066E-3</v>
      </c>
      <c r="P40">
        <v>1.454776129526672E-3</v>
      </c>
      <c r="Q40">
        <v>-3.2275152448149512E-2</v>
      </c>
      <c r="R40">
        <v>-4.7032571930644501E-2</v>
      </c>
      <c r="S40">
        <v>-5.8307408644290924E-2</v>
      </c>
      <c r="T40">
        <v>-7.8739149509247625E-2</v>
      </c>
      <c r="U40">
        <v>-0.10380396506638538</v>
      </c>
      <c r="V40">
        <v>-0.12351290000000001</v>
      </c>
      <c r="Y40" s="37" t="s">
        <v>32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BD40" s="2"/>
    </row>
    <row r="41" spans="1:56" ht="15.75" customHeight="1" x14ac:dyDescent="0.2">
      <c r="A41">
        <f t="shared" si="2"/>
        <v>33</v>
      </c>
      <c r="B41" s="15">
        <v>0.14000000000000001</v>
      </c>
      <c r="C41" s="16">
        <f t="shared" si="1"/>
        <v>1.1659187244639213E-4</v>
      </c>
      <c r="D41">
        <v>0.1281938</v>
      </c>
      <c r="E41">
        <v>0.13735429999999998</v>
      </c>
      <c r="F41">
        <v>6.3600000000000002E-3</v>
      </c>
      <c r="G41">
        <v>2.7815599999999999E-2</v>
      </c>
      <c r="H41">
        <v>5.0748100000000004E-2</v>
      </c>
      <c r="I41">
        <v>8.2169000000000006E-2</v>
      </c>
      <c r="L41">
        <f t="shared" si="3"/>
        <v>33</v>
      </c>
      <c r="M41" s="16">
        <f t="shared" si="0"/>
        <v>1.1659187244639213E-4</v>
      </c>
      <c r="N41">
        <v>6.3599999999999985E-3</v>
      </c>
      <c r="O41">
        <v>1.7354319109815074E-2</v>
      </c>
      <c r="P41">
        <v>2.1079789075351407E-2</v>
      </c>
      <c r="Q41">
        <v>4.1739166471172082E-2</v>
      </c>
      <c r="R41">
        <v>5.5722975242053323E-2</v>
      </c>
      <c r="S41">
        <v>6.6406725381149806E-2</v>
      </c>
      <c r="T41">
        <v>8.5767326323934759E-2</v>
      </c>
      <c r="U41">
        <v>0.10951811167862542</v>
      </c>
      <c r="V41">
        <v>0.1281938</v>
      </c>
    </row>
    <row r="42" spans="1:56" x14ac:dyDescent="0.2">
      <c r="A42">
        <f t="shared" si="2"/>
        <v>34</v>
      </c>
      <c r="B42" s="15">
        <v>0.13</v>
      </c>
      <c r="C42" s="16">
        <f t="shared" si="1"/>
        <v>1.0826883828274347E-4</v>
      </c>
      <c r="D42">
        <v>4.76281E-2</v>
      </c>
      <c r="E42">
        <v>6.5074699999999999E-2</v>
      </c>
      <c r="F42">
        <v>-2.5344E-3</v>
      </c>
      <c r="G42">
        <v>3.0048000000000002E-3</v>
      </c>
      <c r="H42">
        <v>2.13974E-2</v>
      </c>
      <c r="I42">
        <v>1.6012999999999999E-3</v>
      </c>
      <c r="L42">
        <f t="shared" si="3"/>
        <v>34</v>
      </c>
      <c r="M42" s="16">
        <f t="shared" si="0"/>
        <v>1.0826883828274347E-4</v>
      </c>
      <c r="N42">
        <v>-2.5343999999999996E-3</v>
      </c>
      <c r="O42">
        <v>1.4980979897543441E-3</v>
      </c>
      <c r="P42">
        <v>2.0092799493036514E-3</v>
      </c>
      <c r="Q42">
        <v>9.1945538270090839E-3</v>
      </c>
      <c r="R42">
        <v>1.541107125848758E-2</v>
      </c>
      <c r="S42">
        <v>2.0160550603424591E-2</v>
      </c>
      <c r="T42">
        <v>2.8767338771076168E-2</v>
      </c>
      <c r="U42">
        <v>3.9325790906280501E-2</v>
      </c>
      <c r="V42">
        <v>4.76281E-2</v>
      </c>
      <c r="AF42" s="8"/>
      <c r="AG42" s="8"/>
    </row>
    <row r="43" spans="1:56" x14ac:dyDescent="0.2">
      <c r="A43">
        <f t="shared" si="2"/>
        <v>35</v>
      </c>
      <c r="B43" s="15">
        <v>0.16</v>
      </c>
      <c r="C43" s="16">
        <f t="shared" si="1"/>
        <v>1.3323565538980731E-4</v>
      </c>
      <c r="D43">
        <v>1.9887200000000001E-2</v>
      </c>
      <c r="E43">
        <v>3.5347499999999997E-2</v>
      </c>
      <c r="F43">
        <v>9.3789999999999998E-4</v>
      </c>
      <c r="G43">
        <v>1.1162499999999999E-2</v>
      </c>
      <c r="H43">
        <v>1.8687200000000001E-2</v>
      </c>
      <c r="I43">
        <v>3.03988E-2</v>
      </c>
      <c r="L43">
        <f t="shared" si="3"/>
        <v>35</v>
      </c>
      <c r="M43" s="16">
        <f t="shared" si="0"/>
        <v>1.3323565538980731E-4</v>
      </c>
      <c r="N43">
        <v>9.3789999999999976E-4</v>
      </c>
      <c r="O43">
        <v>5.1871943122444395E-3</v>
      </c>
      <c r="P43">
        <v>6.398359191418004E-3</v>
      </c>
      <c r="Q43">
        <v>1.2372721816972757E-2</v>
      </c>
      <c r="R43">
        <v>1.3588160918150977E-2</v>
      </c>
      <c r="S43">
        <v>1.4516774051665666E-2</v>
      </c>
      <c r="T43">
        <v>1.6199564090195219E-2</v>
      </c>
      <c r="U43">
        <v>1.826394138510656E-2</v>
      </c>
      <c r="V43">
        <v>1.9887200000000001E-2</v>
      </c>
      <c r="Y43" s="38" t="s">
        <v>33</v>
      </c>
      <c r="Z43" s="39"/>
      <c r="AA43" s="39"/>
      <c r="AB43" s="39"/>
    </row>
    <row r="44" spans="1:56" x14ac:dyDescent="0.2">
      <c r="A44">
        <f t="shared" si="2"/>
        <v>36</v>
      </c>
      <c r="B44" s="15">
        <v>0.13</v>
      </c>
      <c r="C44" s="16">
        <f t="shared" si="1"/>
        <v>1.0826883828274347E-4</v>
      </c>
      <c r="D44">
        <v>5.63851E-2</v>
      </c>
      <c r="E44">
        <v>2.7678299999999999E-2</v>
      </c>
      <c r="F44">
        <v>1.14263E-2</v>
      </c>
      <c r="G44">
        <v>2.2977500000000001E-2</v>
      </c>
      <c r="H44">
        <v>3.3825000000000001E-2</v>
      </c>
      <c r="I44">
        <v>4.1199599999999996E-2</v>
      </c>
      <c r="L44">
        <f t="shared" si="3"/>
        <v>36</v>
      </c>
      <c r="M44" s="16">
        <f t="shared" si="0"/>
        <v>1.0826883828274347E-4</v>
      </c>
      <c r="N44">
        <v>1.1426299999999999E-2</v>
      </c>
      <c r="O44">
        <v>1.5427495788780226E-2</v>
      </c>
      <c r="P44">
        <v>1.8531126767637063E-2</v>
      </c>
      <c r="Q44">
        <v>2.7611483156246674E-2</v>
      </c>
      <c r="R44">
        <v>3.2265556860318484E-2</v>
      </c>
      <c r="S44">
        <v>3.5821293575530176E-2</v>
      </c>
      <c r="T44">
        <v>4.2264836217819041E-2</v>
      </c>
      <c r="U44">
        <v>5.0169508116850538E-2</v>
      </c>
      <c r="V44">
        <v>5.63851E-2</v>
      </c>
      <c r="Y44" s="4"/>
    </row>
    <row r="45" spans="1:56" x14ac:dyDescent="0.2">
      <c r="A45">
        <f t="shared" si="2"/>
        <v>37</v>
      </c>
      <c r="B45" s="15">
        <v>0.1</v>
      </c>
      <c r="C45" s="16">
        <f t="shared" si="1"/>
        <v>8.3295163273211514E-5</v>
      </c>
      <c r="D45">
        <v>7.18805E-2</v>
      </c>
      <c r="E45">
        <v>5.6343400000000002E-2</v>
      </c>
      <c r="F45">
        <v>-1.0953599999999999E-2</v>
      </c>
      <c r="G45">
        <v>1.09246E-2</v>
      </c>
      <c r="H45">
        <v>-8.4542000000000003E-3</v>
      </c>
      <c r="I45">
        <v>7.8715E-3</v>
      </c>
      <c r="L45">
        <f t="shared" si="3"/>
        <v>37</v>
      </c>
      <c r="M45" s="16">
        <f t="shared" si="0"/>
        <v>8.3295163273211514E-5</v>
      </c>
      <c r="N45">
        <v>-1.0953599999999997E-2</v>
      </c>
      <c r="O45">
        <v>-2.084864033592856E-3</v>
      </c>
      <c r="P45">
        <v>2.4109361962241149E-3</v>
      </c>
      <c r="Q45">
        <v>1.93798438931196E-2</v>
      </c>
      <c r="R45">
        <v>2.7871697821210961E-2</v>
      </c>
      <c r="S45">
        <v>3.4359536864985003E-2</v>
      </c>
      <c r="T45">
        <v>4.6116500578304208E-2</v>
      </c>
      <c r="U45">
        <v>6.0539457923644006E-2</v>
      </c>
      <c r="V45">
        <v>7.18805E-2</v>
      </c>
      <c r="Z45" s="2" t="s">
        <v>34</v>
      </c>
      <c r="AA45" s="2" t="s">
        <v>35</v>
      </c>
      <c r="AB45" s="2" t="s">
        <v>15</v>
      </c>
      <c r="AC45" s="2" t="s">
        <v>16</v>
      </c>
      <c r="AD45" s="2" t="s">
        <v>36</v>
      </c>
      <c r="AE45" s="40" t="s">
        <v>18</v>
      </c>
      <c r="AF45" s="2" t="s">
        <v>19</v>
      </c>
      <c r="AG45" s="2" t="s">
        <v>20</v>
      </c>
      <c r="AH45" s="2" t="s">
        <v>37</v>
      </c>
      <c r="AP45"/>
    </row>
    <row r="46" spans="1:56" x14ac:dyDescent="0.2">
      <c r="A46">
        <f t="shared" si="2"/>
        <v>38</v>
      </c>
      <c r="B46" s="15">
        <v>0.11</v>
      </c>
      <c r="C46" s="16">
        <f t="shared" si="1"/>
        <v>9.1620483841925449E-5</v>
      </c>
      <c r="D46">
        <v>-3.7996700000000001E-2</v>
      </c>
      <c r="E46">
        <v>-3.3403299999999997E-2</v>
      </c>
      <c r="F46">
        <v>1.3886E-3</v>
      </c>
      <c r="G46">
        <v>-3.6875999999999996E-3</v>
      </c>
      <c r="H46">
        <v>-3.8005999999999999E-3</v>
      </c>
      <c r="I46">
        <v>-3.1959800000000003E-2</v>
      </c>
      <c r="L46">
        <f t="shared" si="3"/>
        <v>38</v>
      </c>
      <c r="M46" s="16">
        <f t="shared" si="0"/>
        <v>9.1620483841925449E-5</v>
      </c>
      <c r="N46">
        <v>1.3885999999999998E-3</v>
      </c>
      <c r="O46">
        <v>-1.3468359050455723E-3</v>
      </c>
      <c r="P46">
        <v>-2.5136358867281611E-3</v>
      </c>
      <c r="Q46">
        <v>-8.4466466403165068E-3</v>
      </c>
      <c r="R46">
        <v>-1.3226293938695172E-2</v>
      </c>
      <c r="S46">
        <v>-1.687798177427384E-2</v>
      </c>
      <c r="T46">
        <v>-2.3495402626671033E-2</v>
      </c>
      <c r="U46">
        <v>-3.1613381130097248E-2</v>
      </c>
      <c r="V46">
        <v>-3.7996700000000001E-2</v>
      </c>
      <c r="Y46" s="2" t="s">
        <v>38</v>
      </c>
      <c r="AP46"/>
    </row>
    <row r="47" spans="1:56" x14ac:dyDescent="0.2">
      <c r="A47">
        <f t="shared" si="2"/>
        <v>39</v>
      </c>
      <c r="B47" s="15">
        <v>0.1</v>
      </c>
      <c r="C47" s="16">
        <f t="shared" si="1"/>
        <v>8.3295163273211514E-5</v>
      </c>
      <c r="D47">
        <v>-2.6593800000000001E-2</v>
      </c>
      <c r="E47">
        <v>2.0943900000000001E-2</v>
      </c>
      <c r="F47">
        <v>-9.4293999999999992E-3</v>
      </c>
      <c r="G47">
        <v>-6.4583999999999996E-3</v>
      </c>
      <c r="H47">
        <v>-7.6869999999999998E-4</v>
      </c>
      <c r="I47">
        <v>-2.5039799999999997E-2</v>
      </c>
      <c r="L47">
        <f t="shared" si="3"/>
        <v>39</v>
      </c>
      <c r="M47" s="16">
        <f t="shared" si="0"/>
        <v>8.3295163273211514E-5</v>
      </c>
      <c r="N47">
        <v>-9.4293999999999975E-3</v>
      </c>
      <c r="O47">
        <v>-7.4746565576905809E-3</v>
      </c>
      <c r="P47">
        <v>-8.7436454883521846E-3</v>
      </c>
      <c r="Q47">
        <v>-9.2513708943516484E-3</v>
      </c>
      <c r="R47">
        <v>-1.2056489659396567E-2</v>
      </c>
      <c r="S47">
        <v>-1.4199600240685756E-2</v>
      </c>
      <c r="T47">
        <v>-1.8083246731889553E-2</v>
      </c>
      <c r="U47">
        <v>-2.2847543794706365E-2</v>
      </c>
      <c r="V47">
        <v>-2.6593800000000001E-2</v>
      </c>
      <c r="X47">
        <v>1</v>
      </c>
      <c r="Y47" s="8" t="s">
        <v>7</v>
      </c>
      <c r="Z47" s="41">
        <v>0</v>
      </c>
      <c r="AA47" s="41">
        <v>0</v>
      </c>
      <c r="AB47" s="41">
        <v>3.9739250401255324E-2</v>
      </c>
      <c r="AC47" s="41">
        <v>0.13871035726296088</v>
      </c>
      <c r="AD47" s="41">
        <v>0.27802227218712156</v>
      </c>
      <c r="AE47" s="41">
        <v>0.38445723654289643</v>
      </c>
      <c r="AF47" s="41">
        <v>0.57733378685745274</v>
      </c>
      <c r="AG47" s="41">
        <v>0.81394677010172944</v>
      </c>
      <c r="AH47" s="2">
        <v>1</v>
      </c>
      <c r="AP47"/>
    </row>
    <row r="48" spans="1:56" x14ac:dyDescent="0.2">
      <c r="A48">
        <f t="shared" si="2"/>
        <v>40</v>
      </c>
      <c r="B48" s="15">
        <v>0.09</v>
      </c>
      <c r="C48" s="16">
        <f t="shared" si="1"/>
        <v>7.4969080277487166E-5</v>
      </c>
      <c r="D48">
        <v>0.10946400000000001</v>
      </c>
      <c r="E48">
        <v>0.18432480000000001</v>
      </c>
      <c r="F48">
        <v>3.4813000000000001E-3</v>
      </c>
      <c r="G48">
        <v>1.12131E-2</v>
      </c>
      <c r="H48">
        <v>2.8641299999999998E-2</v>
      </c>
      <c r="I48">
        <v>0.10790079999999999</v>
      </c>
      <c r="L48">
        <f t="shared" si="3"/>
        <v>40</v>
      </c>
      <c r="M48" s="16">
        <f t="shared" si="0"/>
        <v>7.4969080277487166E-5</v>
      </c>
      <c r="N48">
        <v>3.4812999999999992E-3</v>
      </c>
      <c r="O48">
        <v>1.2165786317801705E-2</v>
      </c>
      <c r="P48">
        <v>1.1252710692467697E-2</v>
      </c>
      <c r="Q48">
        <v>2.4841628837162177E-2</v>
      </c>
      <c r="R48">
        <v>3.8529038462429659E-2</v>
      </c>
      <c r="S48">
        <v>4.8986369501852325E-2</v>
      </c>
      <c r="T48">
        <v>6.7936664159152907E-2</v>
      </c>
      <c r="U48">
        <v>9.1184102714588017E-2</v>
      </c>
      <c r="V48">
        <v>0.10946400000000001</v>
      </c>
      <c r="X48">
        <v>2</v>
      </c>
      <c r="Y48" s="8" t="s">
        <v>8</v>
      </c>
      <c r="Z48" s="41">
        <v>0</v>
      </c>
      <c r="AA48" s="41">
        <v>3.5338315171508428E-2</v>
      </c>
      <c r="AB48" s="41">
        <v>0</v>
      </c>
      <c r="AC48" s="41">
        <v>6.4349639202923227E-7</v>
      </c>
      <c r="AD48" s="41">
        <v>0</v>
      </c>
      <c r="AE48" s="41">
        <v>0</v>
      </c>
      <c r="AF48" s="41">
        <v>0</v>
      </c>
      <c r="AG48" s="41">
        <v>0</v>
      </c>
      <c r="AH48" s="2">
        <v>0</v>
      </c>
      <c r="AP48"/>
    </row>
    <row r="49" spans="1:42" x14ac:dyDescent="0.2">
      <c r="A49">
        <f t="shared" si="2"/>
        <v>41</v>
      </c>
      <c r="B49" s="15">
        <v>0.09</v>
      </c>
      <c r="C49" s="16">
        <f t="shared" si="1"/>
        <v>7.4969080277487166E-5</v>
      </c>
      <c r="D49">
        <v>3.8448200000000002E-2</v>
      </c>
      <c r="E49">
        <v>8.6500400000000005E-2</v>
      </c>
      <c r="F49">
        <v>-2.3166999999999997E-3</v>
      </c>
      <c r="G49">
        <v>1.1472100000000001E-2</v>
      </c>
      <c r="H49">
        <v>7.0279000000000001E-3</v>
      </c>
      <c r="I49">
        <v>3.4319999999999996E-2</v>
      </c>
      <c r="L49">
        <f t="shared" si="3"/>
        <v>41</v>
      </c>
      <c r="M49" s="16">
        <f t="shared" si="0"/>
        <v>7.4969080277487166E-5</v>
      </c>
      <c r="N49">
        <v>-2.3166999999999992E-3</v>
      </c>
      <c r="O49">
        <v>4.9126496593439213E-3</v>
      </c>
      <c r="P49">
        <v>5.6516602617655435E-3</v>
      </c>
      <c r="Q49">
        <v>1.5214012749002082E-2</v>
      </c>
      <c r="R49">
        <v>1.8972056616747009E-2</v>
      </c>
      <c r="S49">
        <v>2.1843256858704682E-2</v>
      </c>
      <c r="T49">
        <v>2.7046313967645334E-2</v>
      </c>
      <c r="U49">
        <v>3.3429209464941267E-2</v>
      </c>
      <c r="V49">
        <v>3.8448200000000002E-2</v>
      </c>
      <c r="X49">
        <v>3</v>
      </c>
      <c r="Y49" s="8" t="s">
        <v>26</v>
      </c>
      <c r="Z49" s="41">
        <v>0.99999999999999978</v>
      </c>
      <c r="AA49" s="41">
        <v>0.6679931576959971</v>
      </c>
      <c r="AB49" s="41">
        <v>0.49985856136746903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2">
        <v>0</v>
      </c>
      <c r="AP49"/>
    </row>
    <row r="50" spans="1:42" x14ac:dyDescent="0.2">
      <c r="A50">
        <f t="shared" si="2"/>
        <v>42</v>
      </c>
      <c r="B50" s="15">
        <v>0.08</v>
      </c>
      <c r="C50" s="16">
        <f t="shared" si="1"/>
        <v>6.6642234708869097E-5</v>
      </c>
      <c r="D50">
        <v>-1.0095799999999999E-2</v>
      </c>
      <c r="E50">
        <v>5.03223E-2</v>
      </c>
      <c r="F50">
        <v>-9.5645999999999995E-3</v>
      </c>
      <c r="G50">
        <v>3.3068999999999998E-3</v>
      </c>
      <c r="H50">
        <v>-9.747200000000001E-3</v>
      </c>
      <c r="I50">
        <v>1.7868000000000001E-3</v>
      </c>
      <c r="L50">
        <f t="shared" si="3"/>
        <v>42</v>
      </c>
      <c r="M50" s="16">
        <f t="shared" si="0"/>
        <v>6.6642234708869097E-5</v>
      </c>
      <c r="N50">
        <v>-9.5645999999999978E-3</v>
      </c>
      <c r="O50">
        <v>-3.6297289061694893E-3</v>
      </c>
      <c r="P50">
        <v>-3.6596427239942832E-3</v>
      </c>
      <c r="Q50">
        <v>1.4478369489520915E-3</v>
      </c>
      <c r="R50">
        <v>-4.1934910744233439E-4</v>
      </c>
      <c r="S50">
        <v>-1.8458650042135192E-3</v>
      </c>
      <c r="T50">
        <v>-4.4309315451143806E-3</v>
      </c>
      <c r="U50">
        <v>-7.6021843756424474E-3</v>
      </c>
      <c r="V50">
        <v>-1.0095799999999999E-2</v>
      </c>
      <c r="X50">
        <v>4</v>
      </c>
      <c r="Y50" s="8" t="s">
        <v>10</v>
      </c>
      <c r="Z50" s="41">
        <v>0</v>
      </c>
      <c r="AA50" s="41">
        <v>0.29666852713249448</v>
      </c>
      <c r="AB50" s="41">
        <v>0.46040218823127532</v>
      </c>
      <c r="AC50" s="41">
        <v>0.86128899924067948</v>
      </c>
      <c r="AD50" s="41">
        <v>0.72197772781287839</v>
      </c>
      <c r="AE50" s="41">
        <v>0.61554276345709091</v>
      </c>
      <c r="AF50" s="41">
        <v>0.42266621314254738</v>
      </c>
      <c r="AG50" s="41">
        <v>0.18605322989827058</v>
      </c>
      <c r="AH50" s="2">
        <v>0</v>
      </c>
      <c r="AP50"/>
    </row>
    <row r="51" spans="1:42" x14ac:dyDescent="0.2">
      <c r="A51">
        <f t="shared" si="2"/>
        <v>43</v>
      </c>
      <c r="B51" s="15">
        <v>0.04</v>
      </c>
      <c r="C51" s="16">
        <f t="shared" si="1"/>
        <v>3.3327223783574667E-5</v>
      </c>
      <c r="D51">
        <v>2.7574900000000003E-2</v>
      </c>
      <c r="E51">
        <v>6.2325100000000001E-2</v>
      </c>
      <c r="F51">
        <v>-1.8146599999999999E-2</v>
      </c>
      <c r="G51">
        <v>-1.6109100000000001E-2</v>
      </c>
      <c r="H51">
        <v>-1.5998499999999999E-2</v>
      </c>
      <c r="I51">
        <v>4.0212700000000004E-2</v>
      </c>
      <c r="L51">
        <f t="shared" si="3"/>
        <v>43</v>
      </c>
      <c r="M51" s="16">
        <f t="shared" si="0"/>
        <v>3.3327223783574667E-5</v>
      </c>
      <c r="N51">
        <v>-1.8146599999999995E-2</v>
      </c>
      <c r="O51">
        <v>-1.4698403578980467E-2</v>
      </c>
      <c r="P51">
        <v>-1.5391592404257774E-2</v>
      </c>
      <c r="Q51">
        <v>-1.0049626281200628E-2</v>
      </c>
      <c r="R51">
        <v>-3.9639750617777806E-3</v>
      </c>
      <c r="S51">
        <v>6.8552992114009198E-4</v>
      </c>
      <c r="T51">
        <v>9.1111491450809635E-3</v>
      </c>
      <c r="U51">
        <v>1.9447350705123951E-2</v>
      </c>
      <c r="V51">
        <v>2.7574900000000003E-2</v>
      </c>
      <c r="X51">
        <v>5</v>
      </c>
      <c r="Y51" s="8" t="s">
        <v>11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2">
        <v>0</v>
      </c>
      <c r="AP51"/>
    </row>
    <row r="52" spans="1:42" x14ac:dyDescent="0.2">
      <c r="A52">
        <f t="shared" si="2"/>
        <v>44</v>
      </c>
      <c r="B52" s="15">
        <v>0.03</v>
      </c>
      <c r="C52" s="16">
        <f t="shared" si="1"/>
        <v>2.4996563158685703E-5</v>
      </c>
      <c r="D52">
        <v>4.37957E-2</v>
      </c>
      <c r="E52">
        <v>1.0043699999999999E-2</v>
      </c>
      <c r="F52">
        <v>-1.5413399999999999E-2</v>
      </c>
      <c r="G52">
        <v>-1.8908E-3</v>
      </c>
      <c r="H52">
        <v>-1.14109E-2</v>
      </c>
      <c r="I52">
        <v>4.3988800000000002E-2</v>
      </c>
      <c r="L52">
        <f t="shared" si="3"/>
        <v>44</v>
      </c>
      <c r="M52" s="16">
        <f t="shared" si="0"/>
        <v>2.4996563158685703E-5</v>
      </c>
      <c r="N52">
        <v>-1.5413399999999996E-2</v>
      </c>
      <c r="O52">
        <v>-1.0502059151845523E-2</v>
      </c>
      <c r="P52">
        <v>-6.8346401184907844E-3</v>
      </c>
      <c r="Q52">
        <v>4.4463984169018913E-3</v>
      </c>
      <c r="R52">
        <v>1.081106453827693E-2</v>
      </c>
      <c r="S52">
        <v>1.5673705537317062E-2</v>
      </c>
      <c r="T52">
        <v>2.4485560053263015E-2</v>
      </c>
      <c r="U52">
        <v>3.5295579112252666E-2</v>
      </c>
      <c r="V52">
        <v>4.37957E-2</v>
      </c>
      <c r="X52">
        <v>6</v>
      </c>
      <c r="Y52" s="8" t="s">
        <v>12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2">
        <v>0</v>
      </c>
      <c r="AP52"/>
    </row>
    <row r="53" spans="1:42" x14ac:dyDescent="0.2">
      <c r="A53">
        <f t="shared" si="2"/>
        <v>45</v>
      </c>
      <c r="B53" s="15">
        <v>0.02</v>
      </c>
      <c r="C53" s="16">
        <f t="shared" si="1"/>
        <v>1.6665139084048874E-5</v>
      </c>
      <c r="D53">
        <v>5.3368800000000001E-2</v>
      </c>
      <c r="E53">
        <v>2.0998899999999997E-2</v>
      </c>
      <c r="F53">
        <v>7.4982E-3</v>
      </c>
      <c r="G53">
        <v>1.3994400000000001E-2</v>
      </c>
      <c r="H53">
        <v>1.1752400000000001E-2</v>
      </c>
      <c r="I53">
        <v>8.0441600000000002E-2</v>
      </c>
      <c r="L53">
        <f t="shared" si="3"/>
        <v>45</v>
      </c>
      <c r="M53" s="16">
        <f t="shared" si="0"/>
        <v>1.6665139084048874E-5</v>
      </c>
      <c r="N53">
        <v>7.4981999999999983E-3</v>
      </c>
      <c r="O53">
        <v>9.9025100775940941E-3</v>
      </c>
      <c r="P53">
        <v>1.2311927954643831E-2</v>
      </c>
      <c r="Q53">
        <v>1.9456041598385657E-2</v>
      </c>
      <c r="R53">
        <v>2.4941360154004596E-2</v>
      </c>
      <c r="S53">
        <v>2.9132173014534447E-2</v>
      </c>
      <c r="T53">
        <v>3.6726571457240093E-2</v>
      </c>
      <c r="U53">
        <v>4.6043065704693534E-2</v>
      </c>
      <c r="V53">
        <v>5.3368800000000001E-2</v>
      </c>
      <c r="Y53" s="8"/>
      <c r="AP53"/>
    </row>
    <row r="54" spans="1:42" x14ac:dyDescent="0.2">
      <c r="A54">
        <f t="shared" si="2"/>
        <v>46</v>
      </c>
      <c r="B54" s="15">
        <v>0.02</v>
      </c>
      <c r="C54" s="16">
        <f t="shared" si="1"/>
        <v>1.6665139084048874E-5</v>
      </c>
      <c r="D54">
        <v>6.9843999999999991E-3</v>
      </c>
      <c r="E54">
        <v>2.0617000000000001E-3</v>
      </c>
      <c r="F54">
        <v>3.4494999999999999E-3</v>
      </c>
      <c r="G54">
        <v>1.21116E-2</v>
      </c>
      <c r="H54">
        <v>6.3566999999999999E-3</v>
      </c>
      <c r="I54">
        <v>9.1304000000000003E-3</v>
      </c>
      <c r="L54">
        <f t="shared" si="3"/>
        <v>46</v>
      </c>
      <c r="M54" s="16">
        <f t="shared" si="0"/>
        <v>1.6665139084048874E-5</v>
      </c>
      <c r="N54">
        <v>3.449499999999999E-3</v>
      </c>
      <c r="O54">
        <v>5.9702299350793617E-3</v>
      </c>
      <c r="P54">
        <v>7.5780240709215265E-3</v>
      </c>
      <c r="Q54">
        <v>1.1400397789167349E-2</v>
      </c>
      <c r="R54">
        <v>1.068612420604219E-2</v>
      </c>
      <c r="S54">
        <v>1.0140410856797108E-2</v>
      </c>
      <c r="T54">
        <v>9.1514942080244688E-3</v>
      </c>
      <c r="U54">
        <v>7.9383321203344119E-3</v>
      </c>
      <c r="V54">
        <v>6.9843999999999991E-3</v>
      </c>
      <c r="AP54"/>
    </row>
    <row r="55" spans="1:42" x14ac:dyDescent="0.2">
      <c r="A55">
        <f t="shared" si="2"/>
        <v>47</v>
      </c>
      <c r="B55" s="15">
        <v>0.04</v>
      </c>
      <c r="C55" s="16">
        <f t="shared" si="1"/>
        <v>3.3327223783574667E-5</v>
      </c>
      <c r="D55">
        <v>2.3344800000000002E-2</v>
      </c>
      <c r="E55">
        <v>1.9374499999999999E-2</v>
      </c>
      <c r="F55">
        <v>6.4263999999999996E-3</v>
      </c>
      <c r="G55">
        <v>6.0568999999999996E-3</v>
      </c>
      <c r="H55">
        <v>1.6168800000000001E-2</v>
      </c>
      <c r="I55">
        <v>2.5900500000000003E-2</v>
      </c>
      <c r="L55">
        <f t="shared" si="3"/>
        <v>47</v>
      </c>
      <c r="M55" s="16">
        <f t="shared" si="0"/>
        <v>3.3327223783574667E-5</v>
      </c>
      <c r="N55">
        <v>6.4263999999999979E-3</v>
      </c>
      <c r="O55">
        <v>6.7743450178967511E-3</v>
      </c>
      <c r="P55">
        <v>6.9286059254371393E-3</v>
      </c>
      <c r="Q55">
        <v>8.4549193551540884E-3</v>
      </c>
      <c r="R55">
        <v>1.0863321239343738E-2</v>
      </c>
      <c r="S55">
        <v>1.2703358259629862E-2</v>
      </c>
      <c r="T55">
        <v>1.6037788773812959E-2</v>
      </c>
      <c r="U55">
        <v>2.0128330366841689E-2</v>
      </c>
      <c r="V55">
        <v>2.3344800000000002E-2</v>
      </c>
      <c r="Y55" s="2" t="s">
        <v>39</v>
      </c>
      <c r="Z55" s="42">
        <f t="array" ref="Z55">SQRT(MMULT(TRANSPOSE(Z47:Z52),MMULT($Z$17:$AE$22,Z47:Z52)))</f>
        <v>1.2930965415719803E-2</v>
      </c>
      <c r="AA55" s="42">
        <f t="array" ref="AA55">SQRT(MMULT(TRANSPOSE(AA47:AA52),MMULT($Z$17:$AE$22,AA47:AA52)))</f>
        <v>1.1806436851145661E-2</v>
      </c>
      <c r="AB55" s="42">
        <f t="array" ref="AB55">SQRT(MMULT(TRANSPOSE(AB47:AB52),MMULT($Z$17:$AE$22,AB47:AB52)))</f>
        <v>1.1989016354546883E-2</v>
      </c>
      <c r="AC55" s="42">
        <f t="array" ref="AC55">SQRT(MMULT(TRANSPOSE(AC47:AC52),MMULT($Z$17:$AE$22,AC47:AC52)))</f>
        <v>1.591531159366116E-2</v>
      </c>
      <c r="AD55" s="42">
        <f t="array" ref="AD55">SQRT(MMULT(TRANSPOSE(AD47:AD52),MMULT($Z$17:$AE$22,AD47:AD52)))</f>
        <v>2.0182295127746452E-2</v>
      </c>
      <c r="AE55" s="42">
        <f t="array" ref="AE55">SQRT(MMULT(TRANSPOSE(AE47:AE52),MMULT($Z$17:$AE$22,AE47:AE52)))</f>
        <v>2.4038729900275231E-2</v>
      </c>
      <c r="AF55" s="42">
        <f t="array" ref="AF55">SQRT(MMULT(TRANSPOSE(AF47:AF52),MMULT($Z$17:$AE$22,AF47:AF52)))</f>
        <v>3.167901598656464E-2</v>
      </c>
      <c r="AG55" s="42">
        <f t="array" ref="AG55">SQRT(MMULT(TRANSPOSE(AG47:AG52),MMULT($Z$17:$AE$22,AG47:AG52)))</f>
        <v>4.1607128566225567E-2</v>
      </c>
      <c r="AH55" s="42">
        <f t="array" ref="AH55">SQRT(MMULT(TRANSPOSE(AH47:AH52),MMULT($Z$17:$AE$22,AH47:AH52)))</f>
        <v>4.9620441401426803E-2</v>
      </c>
      <c r="AP55"/>
    </row>
    <row r="56" spans="1:42" x14ac:dyDescent="0.2">
      <c r="A56">
        <f t="shared" si="2"/>
        <v>48</v>
      </c>
      <c r="B56" s="15">
        <v>0.05</v>
      </c>
      <c r="C56" s="16">
        <f t="shared" si="1"/>
        <v>4.1657121104599071E-5</v>
      </c>
      <c r="D56">
        <v>2.3754900000000002E-2</v>
      </c>
      <c r="E56">
        <v>-3.6108700000000001E-2</v>
      </c>
      <c r="F56">
        <v>1.3604099999999999E-2</v>
      </c>
      <c r="G56">
        <v>2.6650299999999998E-2</v>
      </c>
      <c r="H56">
        <v>1.073E-2</v>
      </c>
      <c r="I56">
        <v>4.8163299999999999E-2</v>
      </c>
      <c r="L56">
        <f t="shared" si="3"/>
        <v>48</v>
      </c>
      <c r="M56" s="16">
        <f t="shared" si="0"/>
        <v>4.1657121104599071E-5</v>
      </c>
      <c r="N56">
        <v>1.3604099999999996E-2</v>
      </c>
      <c r="O56">
        <v>1.5717730344217785E-2</v>
      </c>
      <c r="P56">
        <v>2.0013984211075919E-2</v>
      </c>
      <c r="Q56">
        <v>2.6248637646391616E-2</v>
      </c>
      <c r="R56">
        <v>2.5845314313109408E-2</v>
      </c>
      <c r="S56">
        <v>2.5537142517313361E-2</v>
      </c>
      <c r="T56">
        <v>2.4978687753532937E-2</v>
      </c>
      <c r="U56">
        <v>2.4293598521847454E-2</v>
      </c>
      <c r="V56">
        <v>2.3754900000000002E-2</v>
      </c>
      <c r="Y56" s="2" t="s">
        <v>40</v>
      </c>
      <c r="Z56" s="2" cm="1">
        <f t="array" ref="Z56">MMULT($D$70:$I$70,Z47:Z52)</f>
        <v>9.3312499999999949E-4</v>
      </c>
      <c r="AA56" s="2" cm="1">
        <f t="array" ref="AA56">MMULT($D$70:$I$70,AA47:AA52)</f>
        <v>1.8993028838464369E-3</v>
      </c>
      <c r="AB56" s="2" cm="1">
        <f t="array" ref="AB56">MMULT($D$70:$I$70,AB47:AB52)</f>
        <v>2.4662683679061745E-3</v>
      </c>
      <c r="AC56" s="2" cm="1">
        <f t="array" ref="AC56">MMULT($D$70:$I$70,AC47:AC52)</f>
        <v>4.4717032180265704E-3</v>
      </c>
      <c r="AD56" s="2" cm="1">
        <f t="array" ref="AD56">MMULT($D$70:$I$70,AD47:AD52)</f>
        <v>5.5841291804595312E-3</v>
      </c>
      <c r="AE56" s="2" cm="1">
        <f t="array" ref="AE56">MMULT($D$70:$I$70,AE47:AE52)</f>
        <v>6.434030110001078E-3</v>
      </c>
      <c r="AF56" s="2" cm="1">
        <f t="array" ref="AF56">MMULT($D$70:$I$70,AF47:AF52)</f>
        <v>7.9741815103545714E-3</v>
      </c>
      <c r="AG56" s="2" cm="1">
        <f t="array" ref="AG56">MMULT($D$70:$I$70,AG47:AG52)</f>
        <v>9.8635756170573283E-3</v>
      </c>
      <c r="AH56" s="2" cm="1">
        <f t="array" ref="AH56">MMULT($D$70:$I$70,AH47:AH52)</f>
        <v>1.1349241666666669E-2</v>
      </c>
      <c r="AP56"/>
    </row>
    <row r="57" spans="1:42" x14ac:dyDescent="0.2">
      <c r="A57">
        <f t="shared" si="2"/>
        <v>49</v>
      </c>
      <c r="B57" s="15">
        <v>0.05</v>
      </c>
      <c r="C57" s="16">
        <f t="shared" si="1"/>
        <v>4.1657121104599071E-5</v>
      </c>
      <c r="D57">
        <v>3.0405700000000001E-2</v>
      </c>
      <c r="E57">
        <v>2.2368299999999997E-2</v>
      </c>
      <c r="F57">
        <v>-1.7495E-3</v>
      </c>
      <c r="G57">
        <v>-1.7587E-3</v>
      </c>
      <c r="H57">
        <v>-8.0710000000000005E-4</v>
      </c>
      <c r="I57">
        <v>1.8570299999999998E-2</v>
      </c>
      <c r="L57">
        <f t="shared" si="3"/>
        <v>49</v>
      </c>
      <c r="M57" s="16">
        <f t="shared" si="0"/>
        <v>4.1657121104599071E-5</v>
      </c>
      <c r="N57">
        <v>-1.7494999999999995E-3</v>
      </c>
      <c r="O57">
        <v>-8.9994693280621291E-4</v>
      </c>
      <c r="P57">
        <v>-4.7591215562928192E-4</v>
      </c>
      <c r="Q57">
        <v>2.7028509407861726E-3</v>
      </c>
      <c r="R57">
        <v>7.1837195715354525E-3</v>
      </c>
      <c r="S57">
        <v>1.0607136339060361E-2</v>
      </c>
      <c r="T57">
        <v>1.6810894853997855E-2</v>
      </c>
      <c r="U57">
        <v>2.4421409492260068E-2</v>
      </c>
      <c r="V57">
        <v>3.0405700000000001E-2</v>
      </c>
      <c r="Y57" s="2" t="s">
        <v>41</v>
      </c>
      <c r="AD57" s="8">
        <f>(AD56-M70)/AD55</f>
        <v>0.23235763554991742</v>
      </c>
      <c r="AF57" s="8"/>
      <c r="AP57"/>
    </row>
    <row r="58" spans="1:42" x14ac:dyDescent="0.2">
      <c r="A58">
        <f t="shared" si="2"/>
        <v>50</v>
      </c>
      <c r="B58" s="15">
        <v>0.04</v>
      </c>
      <c r="C58" s="16">
        <f t="shared" si="1"/>
        <v>3.3327223783574667E-5</v>
      </c>
      <c r="D58">
        <v>-4.6509799999999997E-2</v>
      </c>
      <c r="E58">
        <v>-2.9484799999999999E-2</v>
      </c>
      <c r="F58">
        <v>-1.08399E-2</v>
      </c>
      <c r="G58">
        <v>-7.1494999999999996E-3</v>
      </c>
      <c r="H58">
        <v>-8.8421999999999997E-3</v>
      </c>
      <c r="I58">
        <v>-5.4816700000000003E-2</v>
      </c>
      <c r="L58">
        <f t="shared" si="3"/>
        <v>50</v>
      </c>
      <c r="M58" s="16">
        <f t="shared" si="0"/>
        <v>3.3327223783574667E-5</v>
      </c>
      <c r="N58">
        <v>-1.0839899999999998E-2</v>
      </c>
      <c r="O58">
        <v>-1.04039538200115E-2</v>
      </c>
      <c r="P58">
        <v>-1.0558326852439036E-2</v>
      </c>
      <c r="Q58">
        <v>-1.2609195647662514E-2</v>
      </c>
      <c r="R58">
        <v>-1.809254003996676E-2</v>
      </c>
      <c r="S58">
        <v>-2.2281852167499276E-2</v>
      </c>
      <c r="T58">
        <v>-2.9873531050845396E-2</v>
      </c>
      <c r="U58">
        <v>-3.9186689055235098E-2</v>
      </c>
      <c r="V58">
        <v>-4.6509799999999997E-2</v>
      </c>
      <c r="AP58"/>
    </row>
    <row r="59" spans="1:42" x14ac:dyDescent="0.2">
      <c r="A59">
        <f t="shared" si="2"/>
        <v>51</v>
      </c>
      <c r="B59" s="15">
        <v>0.05</v>
      </c>
      <c r="C59" s="16">
        <f t="shared" si="1"/>
        <v>4.1657121104599071E-5</v>
      </c>
      <c r="D59">
        <v>7.0061799999999994E-2</v>
      </c>
      <c r="E59">
        <v>4.2539399999999998E-2</v>
      </c>
      <c r="F59">
        <v>-7.0389999999999993E-4</v>
      </c>
      <c r="G59">
        <v>1.13469E-2</v>
      </c>
      <c r="H59">
        <v>1.812E-3</v>
      </c>
      <c r="I59">
        <v>7.6954000000000009E-2</v>
      </c>
      <c r="L59">
        <f t="shared" si="3"/>
        <v>51</v>
      </c>
      <c r="M59" s="16">
        <f t="shared" si="0"/>
        <v>4.1657121104599071E-5</v>
      </c>
      <c r="N59">
        <v>-7.0389999999999982E-4</v>
      </c>
      <c r="O59">
        <v>4.3993384512243548E-3</v>
      </c>
      <c r="P59">
        <v>7.6564905620575665E-3</v>
      </c>
      <c r="Q59">
        <v>1.9491284827920598E-2</v>
      </c>
      <c r="R59">
        <v>2.7670949909239621E-2</v>
      </c>
      <c r="S59">
        <v>3.3920268197892366E-2</v>
      </c>
      <c r="T59">
        <v>4.5244995561956651E-2</v>
      </c>
      <c r="U59">
        <v>5.9137703211846034E-2</v>
      </c>
      <c r="V59">
        <v>7.0061799999999994E-2</v>
      </c>
      <c r="Y59" s="43" t="s">
        <v>42</v>
      </c>
      <c r="AP59"/>
    </row>
    <row r="60" spans="1:42" x14ac:dyDescent="0.2">
      <c r="A60">
        <f t="shared" si="2"/>
        <v>52</v>
      </c>
      <c r="B60" s="15">
        <v>0.05</v>
      </c>
      <c r="C60" s="16">
        <f t="shared" si="1"/>
        <v>4.1657121104599071E-5</v>
      </c>
      <c r="D60">
        <v>-6.9289999999999994E-3</v>
      </c>
      <c r="E60">
        <v>-4.16698E-2</v>
      </c>
      <c r="F60">
        <v>7.6556000000000003E-3</v>
      </c>
      <c r="G60">
        <v>8.9426999999999996E-3</v>
      </c>
      <c r="H60">
        <v>-8.4070000000000011E-4</v>
      </c>
      <c r="I60">
        <v>-6.8865000000000003E-3</v>
      </c>
      <c r="L60">
        <f t="shared" si="3"/>
        <v>52</v>
      </c>
      <c r="M60" s="16">
        <f t="shared" si="0"/>
        <v>4.1657121104599071E-5</v>
      </c>
      <c r="N60">
        <v>7.6555999999999985E-3</v>
      </c>
      <c r="O60">
        <v>6.2943655301115117E-3</v>
      </c>
      <c r="P60">
        <v>7.6686025850703238E-3</v>
      </c>
      <c r="Q60">
        <v>6.7410982536686113E-3</v>
      </c>
      <c r="R60">
        <v>4.5300139025276622E-3</v>
      </c>
      <c r="S60">
        <v>2.8407100787619976E-3</v>
      </c>
      <c r="T60">
        <v>-2.2056866486543135E-4</v>
      </c>
      <c r="U60">
        <v>-3.9760189510236188E-3</v>
      </c>
      <c r="V60">
        <v>-6.9289999999999994E-3</v>
      </c>
      <c r="Y60" s="2" t="s">
        <v>43</v>
      </c>
      <c r="Z60" s="2">
        <f>SUM(Z47:Z52)</f>
        <v>0.99999999999999978</v>
      </c>
      <c r="AA60" s="2">
        <f t="shared" ref="AA60:AH60" si="4">SUM(AA47:AA52)</f>
        <v>1</v>
      </c>
      <c r="AB60" s="2">
        <f t="shared" si="4"/>
        <v>0.99999999999999967</v>
      </c>
      <c r="AC60" s="2">
        <f t="shared" si="4"/>
        <v>1.0000000000000324</v>
      </c>
      <c r="AD60" s="2">
        <f t="shared" si="4"/>
        <v>1</v>
      </c>
      <c r="AE60" s="2">
        <f t="shared" si="4"/>
        <v>0.99999999999998734</v>
      </c>
      <c r="AF60" s="2">
        <f t="shared" si="4"/>
        <v>1</v>
      </c>
      <c r="AG60" s="2">
        <f t="shared" si="4"/>
        <v>1</v>
      </c>
      <c r="AH60" s="2">
        <f t="shared" si="4"/>
        <v>1</v>
      </c>
      <c r="AP60"/>
    </row>
    <row r="61" spans="1:42" x14ac:dyDescent="0.2">
      <c r="A61">
        <f t="shared" si="2"/>
        <v>53</v>
      </c>
      <c r="B61" s="15">
        <v>0.06</v>
      </c>
      <c r="C61" s="16">
        <f t="shared" si="1"/>
        <v>4.99862552685304E-5</v>
      </c>
      <c r="D61">
        <v>4.4816099999999998E-2</v>
      </c>
      <c r="E61">
        <v>2.2338399999999998E-2</v>
      </c>
      <c r="F61">
        <v>-5.1351999999999995E-3</v>
      </c>
      <c r="G61">
        <v>3.1646000000000001E-3</v>
      </c>
      <c r="H61">
        <v>1.4577000000000001E-3</v>
      </c>
      <c r="I61">
        <v>8.8149999999999992E-2</v>
      </c>
      <c r="L61">
        <f t="shared" si="3"/>
        <v>53</v>
      </c>
      <c r="M61" s="16">
        <f t="shared" si="0"/>
        <v>4.99862552685304E-5</v>
      </c>
      <c r="N61">
        <v>-5.1351999999999986E-3</v>
      </c>
      <c r="O61">
        <v>-1.702039822809768E-3</v>
      </c>
      <c r="P61">
        <v>6.7107330045016573E-4</v>
      </c>
      <c r="Q61">
        <v>8.9421067838094392E-3</v>
      </c>
      <c r="R61">
        <v>1.4744644670001892E-2</v>
      </c>
      <c r="S61">
        <v>1.917782058786641E-2</v>
      </c>
      <c r="T61">
        <v>2.7211418223293194E-2</v>
      </c>
      <c r="U61">
        <v>3.7066703894892188E-2</v>
      </c>
      <c r="V61">
        <v>4.4816099999999998E-2</v>
      </c>
      <c r="Y61" s="2" t="s">
        <v>44</v>
      </c>
      <c r="Z61" s="44"/>
      <c r="AA61" s="44"/>
      <c r="AB61" s="44">
        <v>0.03</v>
      </c>
      <c r="AC61" s="44">
        <v>5.5E-2</v>
      </c>
      <c r="AD61" s="44"/>
      <c r="AE61" s="44">
        <v>0.08</v>
      </c>
      <c r="AF61" s="44">
        <v>0.1</v>
      </c>
      <c r="AG61" s="44">
        <v>0.125</v>
      </c>
      <c r="AH61" s="44"/>
    </row>
    <row r="62" spans="1:42" x14ac:dyDescent="0.2">
      <c r="A62">
        <f t="shared" si="2"/>
        <v>54</v>
      </c>
      <c r="B62" s="15">
        <v>0.15</v>
      </c>
      <c r="C62" s="16">
        <f t="shared" si="1"/>
        <v>1.2491414476678564E-4</v>
      </c>
      <c r="D62">
        <v>-5.1746999999999994E-2</v>
      </c>
      <c r="E62">
        <v>-9.6273700000000004E-2</v>
      </c>
      <c r="F62">
        <v>-1.89438E-2</v>
      </c>
      <c r="G62">
        <v>-2.0225E-2</v>
      </c>
      <c r="H62">
        <v>-3.0658699999999997E-2</v>
      </c>
      <c r="I62">
        <v>-6.9116299999999992E-2</v>
      </c>
      <c r="L62">
        <f t="shared" si="3"/>
        <v>54</v>
      </c>
      <c r="M62" s="16">
        <f t="shared" si="0"/>
        <v>1.2491414476678564E-4</v>
      </c>
      <c r="N62">
        <v>-1.8943799999999997E-2</v>
      </c>
      <c r="O62">
        <v>-2.2056600095343385E-2</v>
      </c>
      <c r="P62">
        <v>-2.0837241862324361E-2</v>
      </c>
      <c r="Q62">
        <v>-2.4597476818707775E-2</v>
      </c>
      <c r="R62">
        <v>-2.8988818063882444E-2</v>
      </c>
      <c r="S62">
        <v>-3.2343861010304925E-2</v>
      </c>
      <c r="T62">
        <v>-3.8423715629320621E-2</v>
      </c>
      <c r="U62">
        <v>-4.588223008714671E-2</v>
      </c>
      <c r="V62">
        <v>-5.1746999999999994E-2</v>
      </c>
      <c r="AP62"/>
    </row>
    <row r="63" spans="1:42" x14ac:dyDescent="0.2">
      <c r="A63">
        <f t="shared" si="2"/>
        <v>55</v>
      </c>
      <c r="B63" s="15">
        <v>0.33</v>
      </c>
      <c r="C63" s="16">
        <f t="shared" si="1"/>
        <v>2.7458493733023559E-4</v>
      </c>
      <c r="D63">
        <v>-2.9941499999999999E-2</v>
      </c>
      <c r="E63">
        <v>1.0674999999999999E-2</v>
      </c>
      <c r="F63">
        <v>-6.5869999999999991E-3</v>
      </c>
      <c r="G63">
        <v>8.5407E-3</v>
      </c>
      <c r="H63">
        <v>-1.9819E-2</v>
      </c>
      <c r="I63">
        <v>-3.1461500000000003E-2</v>
      </c>
      <c r="L63">
        <f t="shared" si="3"/>
        <v>55</v>
      </c>
      <c r="M63" s="16">
        <f t="shared" si="0"/>
        <v>2.7458493733023559E-4</v>
      </c>
      <c r="N63">
        <v>-6.5869999999999974E-3</v>
      </c>
      <c r="O63">
        <v>-1.4890775256071842E-3</v>
      </c>
      <c r="P63">
        <v>-5.5026414058985135E-4</v>
      </c>
      <c r="Q63">
        <v>3.2028216631499132E-3</v>
      </c>
      <c r="R63">
        <v>-2.1582086827592493E-3</v>
      </c>
      <c r="S63">
        <v>-6.2540602680911557E-3</v>
      </c>
      <c r="T63">
        <v>-1.3676374252605867E-2</v>
      </c>
      <c r="U63">
        <v>-2.2781762396408774E-2</v>
      </c>
      <c r="V63">
        <v>-2.9941499999999999E-2</v>
      </c>
      <c r="AP63"/>
    </row>
    <row r="64" spans="1:42" x14ac:dyDescent="0.2">
      <c r="A64">
        <f t="shared" si="2"/>
        <v>56</v>
      </c>
      <c r="B64" s="15">
        <v>0.44</v>
      </c>
      <c r="C64" s="16">
        <f t="shared" si="1"/>
        <v>3.6592929423662213E-4</v>
      </c>
      <c r="D64">
        <v>3.7129500000000003E-2</v>
      </c>
      <c r="E64">
        <v>1.24461E-2</v>
      </c>
      <c r="F64">
        <v>-3.1136799999999999E-2</v>
      </c>
      <c r="G64">
        <v>-1.85928E-2</v>
      </c>
      <c r="H64">
        <v>-2.3716400000000002E-2</v>
      </c>
      <c r="I64">
        <v>6.5606899999999996E-2</v>
      </c>
      <c r="L64">
        <f t="shared" si="3"/>
        <v>56</v>
      </c>
      <c r="M64" s="16">
        <f t="shared" si="0"/>
        <v>3.6592929423662213E-4</v>
      </c>
      <c r="N64">
        <v>-3.1136799999999992E-2</v>
      </c>
      <c r="O64">
        <v>-2.5875243739361654E-2</v>
      </c>
      <c r="P64">
        <v>-2.2648663361159657E-2</v>
      </c>
      <c r="Q64">
        <v>-1.0863519886066552E-2</v>
      </c>
      <c r="R64">
        <v>-3.1007595425075543E-3</v>
      </c>
      <c r="S64">
        <v>2.8300414718144748E-3</v>
      </c>
      <c r="T64">
        <v>1.3577566471407039E-2</v>
      </c>
      <c r="U64">
        <v>2.6762186107639602E-2</v>
      </c>
      <c r="V64">
        <v>3.7129500000000003E-2</v>
      </c>
      <c r="Y64" s="2" t="s">
        <v>4</v>
      </c>
      <c r="Z64" s="45">
        <f>SQRT(12)*Z55</f>
        <v>4.4794178181885413E-2</v>
      </c>
      <c r="AA64" s="45">
        <f>SQRT(12)*AA55</f>
        <v>4.0898696965075587E-2</v>
      </c>
      <c r="AB64" s="45">
        <f t="shared" ref="AB64:AF64" si="5">SQRT(12)*AB55</f>
        <v>4.1531170917698812E-2</v>
      </c>
      <c r="AC64" s="45">
        <f t="shared" si="5"/>
        <v>5.5132256597022249E-2</v>
      </c>
      <c r="AD64" s="45">
        <f t="shared" si="5"/>
        <v>6.9913521149213315E-2</v>
      </c>
      <c r="AE64" s="45">
        <f t="shared" si="5"/>
        <v>8.3272603073403659E-2</v>
      </c>
      <c r="AF64" s="45">
        <f t="shared" si="5"/>
        <v>0.10973933044503331</v>
      </c>
      <c r="AG64" s="45">
        <f>SQRT(12)*AG55</f>
        <v>0.14413132126750619</v>
      </c>
      <c r="AH64" s="45">
        <f>SQRT(12)*AH55</f>
        <v>0.17189025120253087</v>
      </c>
    </row>
    <row r="65" spans="1:46" x14ac:dyDescent="0.2">
      <c r="A65">
        <f t="shared" si="2"/>
        <v>57</v>
      </c>
      <c r="B65" s="15">
        <v>0.76</v>
      </c>
      <c r="C65" s="16">
        <f t="shared" si="1"/>
        <v>6.3113787510671315E-4</v>
      </c>
      <c r="D65">
        <v>-8.7201799999999996E-2</v>
      </c>
      <c r="E65">
        <v>-9.9109300000000011E-2</v>
      </c>
      <c r="F65">
        <v>-3.0980599999999997E-2</v>
      </c>
      <c r="G65">
        <v>-2.04383E-2</v>
      </c>
      <c r="H65">
        <v>-4.7676800000000005E-2</v>
      </c>
      <c r="I65">
        <v>-4.4369399999999996E-2</v>
      </c>
      <c r="L65">
        <f t="shared" si="3"/>
        <v>57</v>
      </c>
      <c r="M65" s="16">
        <f t="shared" si="0"/>
        <v>6.3113787510671315E-4</v>
      </c>
      <c r="N65">
        <v>-3.098059999999999E-2</v>
      </c>
      <c r="O65">
        <v>-3.0260584859236252E-2</v>
      </c>
      <c r="P65">
        <v>-2.8361090355668472E-2</v>
      </c>
      <c r="Q65">
        <v>-2.9699139561631005E-2</v>
      </c>
      <c r="R65">
        <v>-3.9000039969164887E-2</v>
      </c>
      <c r="S65">
        <v>-4.6106010711931406E-2</v>
      </c>
      <c r="T65">
        <v>-5.8983124278857546E-2</v>
      </c>
      <c r="U65">
        <v>-7.4780235185686814E-2</v>
      </c>
      <c r="V65">
        <v>-8.7201799999999996E-2</v>
      </c>
      <c r="Y65" s="2" t="s">
        <v>45</v>
      </c>
      <c r="Z65" s="45">
        <f>(1+Z56)^12-1</f>
        <v>1.1255146793776927E-2</v>
      </c>
      <c r="AA65" s="45">
        <f t="shared" ref="AA65:AH65" si="6">(1+AA56)^12-1</f>
        <v>2.3031233582208044E-2</v>
      </c>
      <c r="AB65" s="45">
        <f t="shared" si="6"/>
        <v>2.9999982684353554E-2</v>
      </c>
      <c r="AC65" s="45">
        <f t="shared" si="6"/>
        <v>5.5000054208050875E-2</v>
      </c>
      <c r="AD65" s="45">
        <f>(1+AD56)^12-1</f>
        <v>6.9106388683045639E-2</v>
      </c>
      <c r="AE65" s="45">
        <f t="shared" si="6"/>
        <v>7.9999999999968985E-2</v>
      </c>
      <c r="AF65" s="45">
        <f t="shared" si="6"/>
        <v>0.10000053798530417</v>
      </c>
      <c r="AG65" s="45">
        <f t="shared" si="6"/>
        <v>0.12499993401278919</v>
      </c>
      <c r="AH65" s="45">
        <f t="shared" si="6"/>
        <v>0.1450220177829844</v>
      </c>
    </row>
    <row r="66" spans="1:46" x14ac:dyDescent="0.2">
      <c r="A66">
        <f t="shared" si="2"/>
        <v>58</v>
      </c>
      <c r="B66" s="15">
        <v>0.98</v>
      </c>
      <c r="C66" s="16">
        <f t="shared" si="1"/>
        <v>8.1302127632687515E-4</v>
      </c>
      <c r="D66">
        <v>1.8346E-3</v>
      </c>
      <c r="E66">
        <v>1.5112000000000001E-3</v>
      </c>
      <c r="F66">
        <v>1.8284E-3</v>
      </c>
      <c r="G66">
        <v>-9.9211000000000004E-3</v>
      </c>
      <c r="H66">
        <v>4.9176999999999997E-3</v>
      </c>
      <c r="I66">
        <v>-6.1640499999999994E-2</v>
      </c>
      <c r="L66">
        <f t="shared" si="3"/>
        <v>58</v>
      </c>
      <c r="M66" s="16">
        <f t="shared" si="0"/>
        <v>8.1302127632687515E-4</v>
      </c>
      <c r="N66">
        <v>1.8283999999999996E-3</v>
      </c>
      <c r="O66">
        <v>-1.6685161731156465E-3</v>
      </c>
      <c r="P66">
        <v>-3.5808491272708819E-3</v>
      </c>
      <c r="Q66">
        <v>-8.2904552964803303E-3</v>
      </c>
      <c r="R66">
        <v>-6.6527535748498552E-3</v>
      </c>
      <c r="S66">
        <v>-5.4015360643725474E-3</v>
      </c>
      <c r="T66">
        <v>-3.1341372018398447E-3</v>
      </c>
      <c r="U66">
        <v>-3.5258595471509939E-4</v>
      </c>
      <c r="V66">
        <v>1.8346E-3</v>
      </c>
    </row>
    <row r="67" spans="1:46" x14ac:dyDescent="0.2">
      <c r="A67">
        <f t="shared" si="2"/>
        <v>59</v>
      </c>
      <c r="B67" s="15">
        <v>1.49</v>
      </c>
      <c r="C67" s="16">
        <f t="shared" si="1"/>
        <v>1.2332669717645128E-3</v>
      </c>
      <c r="D67">
        <v>-8.2543800000000001E-2</v>
      </c>
      <c r="E67">
        <v>-8.2243099999999986E-2</v>
      </c>
      <c r="F67">
        <v>-8.7992999999999995E-3</v>
      </c>
      <c r="G67">
        <v>-3.1644399999999996E-2</v>
      </c>
      <c r="H67">
        <v>-3.01547E-2</v>
      </c>
      <c r="I67">
        <v>-7.4680299999999991E-2</v>
      </c>
      <c r="L67">
        <f t="shared" si="3"/>
        <v>59</v>
      </c>
      <c r="M67" s="16">
        <f t="shared" si="0"/>
        <v>1.2332669717645128E-3</v>
      </c>
      <c r="N67">
        <v>-8.7992999999999977E-3</v>
      </c>
      <c r="O67">
        <v>-1.817210232098778E-2</v>
      </c>
      <c r="P67">
        <v>-2.2247785181577676E-2</v>
      </c>
      <c r="Q67">
        <v>-3.8704706518552262E-2</v>
      </c>
      <c r="R67">
        <v>-4.5795566840961172E-2</v>
      </c>
      <c r="S67">
        <v>-5.12130426656911E-2</v>
      </c>
      <c r="T67">
        <v>-6.1030343350772231E-2</v>
      </c>
      <c r="U67">
        <v>-7.3073802230115961E-2</v>
      </c>
      <c r="V67">
        <v>-8.2543800000000001E-2</v>
      </c>
    </row>
    <row r="68" spans="1:46" x14ac:dyDescent="0.2">
      <c r="A68">
        <f t="shared" si="2"/>
        <v>60</v>
      </c>
      <c r="B68" s="15">
        <v>2.23</v>
      </c>
      <c r="C68" s="16">
        <f t="shared" si="1"/>
        <v>1.8396059010297172E-3</v>
      </c>
      <c r="D68">
        <v>9.2204499999999995E-2</v>
      </c>
      <c r="E68">
        <v>0.10440279999999999</v>
      </c>
      <c r="F68">
        <v>1.5941899999999998E-2</v>
      </c>
      <c r="G68">
        <v>4.3534499999999997E-2</v>
      </c>
      <c r="H68">
        <v>3.3893399999999997E-2</v>
      </c>
      <c r="I68">
        <v>8.9628399999999997E-2</v>
      </c>
      <c r="L68">
        <f t="shared" si="3"/>
        <v>60</v>
      </c>
      <c r="M68" s="16">
        <f t="shared" si="0"/>
        <v>1.8396059010297172E-3</v>
      </c>
      <c r="N68">
        <v>1.5941899999999995E-2</v>
      </c>
      <c r="O68">
        <v>2.7253815166311354E-2</v>
      </c>
      <c r="P68">
        <v>3.1676211976641055E-2</v>
      </c>
      <c r="Q68">
        <v>5.0285572256521152E-2</v>
      </c>
      <c r="R68">
        <v>5.7065843987347195E-2</v>
      </c>
      <c r="S68">
        <v>6.2246033702542211E-2</v>
      </c>
      <c r="T68">
        <v>7.1633335406352222E-2</v>
      </c>
      <c r="U68">
        <v>8.3149289300851165E-2</v>
      </c>
      <c r="V68">
        <v>9.2204499999999995E-2</v>
      </c>
    </row>
    <row r="69" spans="1:46" x14ac:dyDescent="0.2">
      <c r="B69" s="13"/>
      <c r="C69" s="13"/>
      <c r="F69" s="15"/>
      <c r="L69" s="46"/>
      <c r="M69" s="7"/>
    </row>
    <row r="70" spans="1:46" x14ac:dyDescent="0.2">
      <c r="A70" t="s">
        <v>46</v>
      </c>
      <c r="B70" s="15"/>
      <c r="C70" s="47">
        <f>AVERAGE(C9:C68)</f>
        <v>8.9461880460574761E-4</v>
      </c>
      <c r="D70" s="47">
        <f t="shared" ref="D70:I70" si="7">AVERAGE(D9:D68)</f>
        <v>1.1349241666666669E-2</v>
      </c>
      <c r="E70" s="47">
        <f t="shared" si="7"/>
        <v>7.8658700000000022E-3</v>
      </c>
      <c r="F70" s="47">
        <f t="shared" si="7"/>
        <v>9.3312499999999971E-4</v>
      </c>
      <c r="G70" s="47">
        <f t="shared" si="7"/>
        <v>3.3640750000000011E-3</v>
      </c>
      <c r="H70" s="47">
        <f t="shared" si="7"/>
        <v>1.8747450000000008E-3</v>
      </c>
      <c r="I70" s="47">
        <f t="shared" si="7"/>
        <v>6.9965233333333324E-3</v>
      </c>
      <c r="J70" s="47"/>
      <c r="L70" s="46" t="s">
        <v>47</v>
      </c>
      <c r="M70" s="7">
        <f t="shared" ref="M70:V70" si="8">AVERAGE(M9:M68)</f>
        <v>8.9461880460574761E-4</v>
      </c>
      <c r="N70">
        <f t="shared" si="8"/>
        <v>9.3312499999999993E-4</v>
      </c>
      <c r="O70">
        <f t="shared" si="8"/>
        <v>1.8993028838464375E-3</v>
      </c>
      <c r="P70">
        <f>AVERAGE(P9:P68)</f>
        <v>2.4662683679061753E-3</v>
      </c>
      <c r="Q70">
        <f t="shared" si="8"/>
        <v>4.4717032180265686E-3</v>
      </c>
      <c r="R70">
        <f t="shared" si="8"/>
        <v>5.5841291804595303E-3</v>
      </c>
      <c r="S70">
        <f t="shared" si="8"/>
        <v>6.4340301100010771E-3</v>
      </c>
      <c r="T70">
        <f t="shared" si="8"/>
        <v>7.9741815103545714E-3</v>
      </c>
      <c r="U70">
        <f t="shared" si="8"/>
        <v>9.8635756170573283E-3</v>
      </c>
      <c r="V70">
        <f t="shared" si="8"/>
        <v>1.1349241666666669E-2</v>
      </c>
      <c r="Y70" s="4" t="s">
        <v>48</v>
      </c>
    </row>
    <row r="71" spans="1:46" ht="17" thickBot="1" x14ac:dyDescent="0.25">
      <c r="A71" t="s">
        <v>49</v>
      </c>
      <c r="C71">
        <f>_xlfn.STDEV.P(C9:C68)</f>
        <v>7.4123327679090855E-4</v>
      </c>
      <c r="D71">
        <f t="shared" ref="D71:I71" si="9">_xlfn.STDEV.P(D9:D68)</f>
        <v>4.9620441401426803E-2</v>
      </c>
      <c r="E71">
        <f t="shared" si="9"/>
        <v>6.4310299028665946E-2</v>
      </c>
      <c r="F71">
        <f t="shared" si="9"/>
        <v>1.2930965415719805E-2</v>
      </c>
      <c r="G71">
        <f t="shared" si="9"/>
        <v>1.3336625668194399E-2</v>
      </c>
      <c r="H71">
        <f t="shared" si="9"/>
        <v>1.9649724234726759E-2</v>
      </c>
      <c r="I71">
        <f t="shared" si="9"/>
        <v>5.4236944535664883E-2</v>
      </c>
      <c r="L71" s="46" t="s">
        <v>50</v>
      </c>
      <c r="M71" s="7">
        <f t="shared" ref="M71" si="10">STDEV(M9:M68)</f>
        <v>7.4748852082712712E-4</v>
      </c>
      <c r="N71">
        <f>_xlfn.STDEV.P(N9:N68)</f>
        <v>1.29309654157198E-2</v>
      </c>
      <c r="O71">
        <f t="shared" ref="O71:V71" si="11">_xlfn.STDEV.P(O9:O68)</f>
        <v>1.1806436851145661E-2</v>
      </c>
      <c r="P71">
        <f t="shared" si="11"/>
        <v>1.1989016354546881E-2</v>
      </c>
      <c r="Q71">
        <f t="shared" si="11"/>
        <v>1.591531159366116E-2</v>
      </c>
      <c r="R71">
        <f t="shared" si="11"/>
        <v>2.0182295127746452E-2</v>
      </c>
      <c r="S71">
        <f t="shared" si="11"/>
        <v>2.4038729900275231E-2</v>
      </c>
      <c r="T71">
        <f t="shared" si="11"/>
        <v>3.167901598656464E-2</v>
      </c>
      <c r="U71">
        <f t="shared" si="11"/>
        <v>4.160712856622556E-2</v>
      </c>
      <c r="V71">
        <f t="shared" si="11"/>
        <v>4.9620441401426803E-2</v>
      </c>
    </row>
    <row r="72" spans="1:46" ht="17" thickBot="1" x14ac:dyDescent="0.25">
      <c r="A72" t="s">
        <v>3</v>
      </c>
      <c r="C72">
        <f>(1+AVERAGE(C9:C68))^12-1</f>
        <v>1.0788406118340976E-2</v>
      </c>
      <c r="D72">
        <f t="shared" ref="D72:I72" si="12">(1+AVERAGE(D9:D68))^12-1</f>
        <v>0.1450220177829844</v>
      </c>
      <c r="E72">
        <f t="shared" si="12"/>
        <v>9.8582973920927852E-2</v>
      </c>
      <c r="F72">
        <f t="shared" si="12"/>
        <v>1.1255146793776927E-2</v>
      </c>
      <c r="G72">
        <f t="shared" si="12"/>
        <v>4.1124261451965349E-2</v>
      </c>
      <c r="H72">
        <f t="shared" si="12"/>
        <v>2.273036387857208E-2</v>
      </c>
      <c r="I72">
        <f t="shared" si="12"/>
        <v>8.7265615500962346E-2</v>
      </c>
      <c r="L72" s="48" t="s">
        <v>51</v>
      </c>
      <c r="M72" s="49"/>
      <c r="N72" s="49"/>
      <c r="O72" s="49"/>
      <c r="P72" s="50"/>
      <c r="Y72" s="43" t="s">
        <v>52</v>
      </c>
      <c r="AQ72" s="2"/>
      <c r="AR72" s="2"/>
      <c r="AS72" s="2"/>
      <c r="AT72" s="2"/>
    </row>
    <row r="73" spans="1:46" x14ac:dyDescent="0.2">
      <c r="A73" t="s">
        <v>53</v>
      </c>
      <c r="C73">
        <f>SQRT(12)*_xlfn.STDEV.P(C9:C68)</f>
        <v>2.5677073913252363E-3</v>
      </c>
      <c r="D73">
        <f t="shared" ref="D73:I73" si="13">SQRT(12)*_xlfn.STDEV.P(D9:D68)</f>
        <v>0.17189025120253087</v>
      </c>
      <c r="E73">
        <f t="shared" si="13"/>
        <v>0.22277741073519366</v>
      </c>
      <c r="F73">
        <f t="shared" si="13"/>
        <v>4.479417818188542E-2</v>
      </c>
      <c r="G73">
        <f t="shared" si="13"/>
        <v>4.6199426517679852E-2</v>
      </c>
      <c r="H73">
        <f t="shared" si="13"/>
        <v>6.8068641458528437E-2</v>
      </c>
      <c r="I73">
        <f t="shared" si="13"/>
        <v>0.18788228716613353</v>
      </c>
      <c r="L73" s="51"/>
      <c r="M73" s="52"/>
      <c r="N73" s="52" t="s">
        <v>54</v>
      </c>
      <c r="O73" s="52" t="s">
        <v>55</v>
      </c>
      <c r="P73" s="52" t="s">
        <v>15</v>
      </c>
      <c r="Q73" s="52" t="s">
        <v>16</v>
      </c>
      <c r="R73" s="52" t="s">
        <v>56</v>
      </c>
      <c r="S73" s="52" t="s">
        <v>18</v>
      </c>
      <c r="T73" s="52" t="s">
        <v>19</v>
      </c>
      <c r="U73" s="52" t="s">
        <v>20</v>
      </c>
      <c r="V73" s="53" t="s">
        <v>57</v>
      </c>
      <c r="Z73" s="43" t="s">
        <v>58</v>
      </c>
      <c r="AA73" s="43" t="s">
        <v>59</v>
      </c>
      <c r="AP73"/>
      <c r="AQ73" s="2"/>
      <c r="AR73" s="2"/>
      <c r="AS73" s="2"/>
      <c r="AT73" s="2"/>
    </row>
    <row r="74" spans="1:46" x14ac:dyDescent="0.2">
      <c r="L74" s="54" t="s">
        <v>60</v>
      </c>
      <c r="N74" s="62">
        <f>Z56</f>
        <v>9.3312499999999949E-4</v>
      </c>
      <c r="O74" s="62">
        <f t="shared" ref="O74:V74" si="14">AA56</f>
        <v>1.8993028838464369E-3</v>
      </c>
      <c r="P74" s="62">
        <f t="shared" si="14"/>
        <v>2.4662683679061745E-3</v>
      </c>
      <c r="Q74" s="62">
        <f t="shared" si="14"/>
        <v>4.4717032180265704E-3</v>
      </c>
      <c r="R74" s="62">
        <f t="shared" si="14"/>
        <v>5.5841291804595312E-3</v>
      </c>
      <c r="S74" s="62">
        <f t="shared" si="14"/>
        <v>6.434030110001078E-3</v>
      </c>
      <c r="T74" s="62">
        <f t="shared" si="14"/>
        <v>7.9741815103545714E-3</v>
      </c>
      <c r="U74" s="62">
        <f t="shared" si="14"/>
        <v>9.8635756170573283E-3</v>
      </c>
      <c r="V74" s="71">
        <f t="shared" si="14"/>
        <v>1.1349241666666669E-2</v>
      </c>
      <c r="Y74" s="2" t="s">
        <v>34</v>
      </c>
      <c r="Z74" s="55">
        <v>4.47941781818854E-2</v>
      </c>
      <c r="AA74" s="55">
        <f>Z65</f>
        <v>1.1255146793776927E-2</v>
      </c>
      <c r="AQ74" s="2"/>
      <c r="AR74" s="2"/>
      <c r="AS74" s="2"/>
      <c r="AT74" s="2"/>
    </row>
    <row r="75" spans="1:46" ht="17" thickBot="1" x14ac:dyDescent="0.25">
      <c r="L75" s="56" t="s">
        <v>61</v>
      </c>
      <c r="M75" s="23"/>
      <c r="N75" s="57">
        <f>Z55</f>
        <v>1.2930965415719803E-2</v>
      </c>
      <c r="O75" s="57">
        <f t="shared" ref="O75:V75" si="15">AA55</f>
        <v>1.1806436851145661E-2</v>
      </c>
      <c r="P75" s="57">
        <f t="shared" si="15"/>
        <v>1.1989016354546883E-2</v>
      </c>
      <c r="Q75" s="57">
        <f t="shared" si="15"/>
        <v>1.591531159366116E-2</v>
      </c>
      <c r="R75" s="57">
        <f t="shared" si="15"/>
        <v>2.0182295127746452E-2</v>
      </c>
      <c r="S75" s="57">
        <f t="shared" si="15"/>
        <v>2.4038729900275231E-2</v>
      </c>
      <c r="T75" s="57">
        <f t="shared" si="15"/>
        <v>3.167901598656464E-2</v>
      </c>
      <c r="U75" s="57">
        <f t="shared" si="15"/>
        <v>4.1607128566225567E-2</v>
      </c>
      <c r="V75" s="58">
        <f t="shared" si="15"/>
        <v>4.9620441401426803E-2</v>
      </c>
      <c r="Y75" s="2" t="s">
        <v>35</v>
      </c>
      <c r="Z75" s="55">
        <v>4.0898696965075587E-2</v>
      </c>
      <c r="AA75" s="55">
        <v>2.3031233582208044E-2</v>
      </c>
      <c r="AQ75" s="2"/>
      <c r="AR75" s="2"/>
      <c r="AS75" s="2"/>
    </row>
    <row r="76" spans="1:46" x14ac:dyDescent="0.2">
      <c r="L76" s="46"/>
      <c r="Y76" s="2" t="s">
        <v>15</v>
      </c>
      <c r="Z76" s="55">
        <v>4.1531170917698805E-2</v>
      </c>
      <c r="AA76" s="55">
        <v>2.9999982684353554E-2</v>
      </c>
      <c r="AQ76" s="2"/>
      <c r="AR76" s="2"/>
      <c r="AS76" s="2"/>
    </row>
    <row r="77" spans="1:46" x14ac:dyDescent="0.2">
      <c r="L77" s="46"/>
      <c r="Y77" s="2" t="s">
        <v>16</v>
      </c>
      <c r="Z77" s="55">
        <v>5.5131887140209286E-2</v>
      </c>
      <c r="AA77" s="55">
        <v>5.4999679387395917E-2</v>
      </c>
      <c r="AQ77" s="2"/>
      <c r="AR77" s="2"/>
      <c r="AS77" s="2"/>
    </row>
    <row r="78" spans="1:46" x14ac:dyDescent="0.2">
      <c r="L78" s="46"/>
      <c r="O78" s="59"/>
      <c r="Y78" s="2" t="s">
        <v>36</v>
      </c>
      <c r="Z78" s="55">
        <v>6.9913521149213315E-2</v>
      </c>
      <c r="AA78" s="55">
        <v>6.9106388683045639E-2</v>
      </c>
      <c r="AQ78" s="2"/>
      <c r="AR78" s="2"/>
      <c r="AS78" s="2"/>
    </row>
    <row r="79" spans="1:46" x14ac:dyDescent="0.2">
      <c r="L79" s="60"/>
      <c r="M79" s="46"/>
      <c r="N79" s="46"/>
      <c r="O79" s="46"/>
      <c r="P79" s="46"/>
      <c r="Q79" s="46"/>
      <c r="Y79" s="40" t="s">
        <v>18</v>
      </c>
      <c r="Z79" s="55">
        <v>8.3272981820615599E-2</v>
      </c>
      <c r="AA79" s="55">
        <v>8.0000297418479249E-2</v>
      </c>
      <c r="AQ79" s="2"/>
      <c r="AR79" s="2"/>
      <c r="AS79" s="2"/>
    </row>
    <row r="80" spans="1:46" x14ac:dyDescent="0.2">
      <c r="L80" s="46"/>
      <c r="Y80" s="2" t="s">
        <v>19</v>
      </c>
      <c r="Z80" s="55">
        <v>0.10973933044503331</v>
      </c>
      <c r="AA80" s="55">
        <v>0.10000053798530417</v>
      </c>
      <c r="AQ80" s="2"/>
      <c r="AR80" s="2"/>
      <c r="AS80" s="2"/>
    </row>
    <row r="81" spans="12:27" x14ac:dyDescent="0.2">
      <c r="L81" s="60"/>
      <c r="M81" s="46"/>
      <c r="Y81" s="2" t="s">
        <v>20</v>
      </c>
      <c r="Z81" s="55">
        <v>0.14413132126750616</v>
      </c>
      <c r="AA81" s="55">
        <v>0.12499993401278919</v>
      </c>
    </row>
    <row r="82" spans="12:27" x14ac:dyDescent="0.2">
      <c r="L82" s="46"/>
      <c r="Y82" s="2" t="s">
        <v>37</v>
      </c>
      <c r="Z82" s="55">
        <v>0.17189025120253087</v>
      </c>
      <c r="AA82" s="55">
        <v>0.1450220177829844</v>
      </c>
    </row>
    <row r="83" spans="12:27" ht="19" x14ac:dyDescent="0.25">
      <c r="L83" s="61"/>
      <c r="R83" s="62"/>
      <c r="Z83" s="41"/>
      <c r="AA83" s="41"/>
    </row>
    <row r="84" spans="12:27" x14ac:dyDescent="0.2">
      <c r="L84" s="46"/>
      <c r="Z84" s="41"/>
      <c r="AA84" s="41"/>
    </row>
    <row r="85" spans="12:27" x14ac:dyDescent="0.2">
      <c r="L85" s="63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8"/>
      <c r="Z85" s="41"/>
      <c r="AA85" s="41"/>
    </row>
    <row r="86" spans="12:27" x14ac:dyDescent="0.2">
      <c r="L86" s="47"/>
      <c r="M86" s="15"/>
      <c r="N86" s="65"/>
      <c r="O86" s="15"/>
      <c r="P86" s="15"/>
      <c r="Q86" s="15"/>
      <c r="Z86" s="41"/>
      <c r="AA86" s="41"/>
    </row>
    <row r="87" spans="12:27" x14ac:dyDescent="0.2">
      <c r="L87" s="47"/>
      <c r="M87" s="15"/>
      <c r="Y87" s="43"/>
    </row>
    <row r="88" spans="12:27" x14ac:dyDescent="0.2">
      <c r="L88" s="46"/>
    </row>
    <row r="89" spans="12:27" x14ac:dyDescent="0.2">
      <c r="L89" s="46"/>
      <c r="Z89" s="45"/>
      <c r="AA89" s="45"/>
    </row>
    <row r="90" spans="12:27" x14ac:dyDescent="0.2">
      <c r="L90" s="60"/>
      <c r="M90" s="46"/>
      <c r="Z90" s="45"/>
      <c r="AA90" s="45"/>
    </row>
    <row r="91" spans="12:27" x14ac:dyDescent="0.2">
      <c r="L91" s="47"/>
      <c r="M91" s="15"/>
      <c r="Z91" s="45"/>
      <c r="AA91" s="45"/>
    </row>
    <row r="92" spans="12:27" x14ac:dyDescent="0.2">
      <c r="L92" s="47"/>
      <c r="M92" s="15"/>
    </row>
    <row r="93" spans="12:27" ht="21" x14ac:dyDescent="0.25">
      <c r="L93" s="66"/>
      <c r="AA93" s="12"/>
    </row>
    <row r="94" spans="12:27" x14ac:dyDescent="0.2">
      <c r="L94" s="46"/>
    </row>
    <row r="95" spans="12:27" x14ac:dyDescent="0.2">
      <c r="L95" s="46"/>
    </row>
    <row r="96" spans="12:27" x14ac:dyDescent="0.2">
      <c r="L96" s="46"/>
    </row>
    <row r="97" spans="12:28" x14ac:dyDescent="0.2">
      <c r="L97" s="46"/>
    </row>
    <row r="98" spans="12:28" ht="21" x14ac:dyDescent="0.25">
      <c r="L98" s="67"/>
      <c r="M98" s="68"/>
    </row>
    <row r="99" spans="12:28" x14ac:dyDescent="0.2">
      <c r="L99" s="64"/>
      <c r="M99" s="64"/>
      <c r="N99" s="64"/>
      <c r="O99" s="64"/>
      <c r="P99" s="64"/>
      <c r="Q99" s="64"/>
      <c r="R99" s="64"/>
      <c r="S99" s="64"/>
      <c r="T99" s="64"/>
    </row>
    <row r="100" spans="12:28" x14ac:dyDescent="0.2">
      <c r="L100" s="46"/>
    </row>
    <row r="101" spans="12:28" x14ac:dyDescent="0.2">
      <c r="L101" s="46"/>
      <c r="AB101" s="41"/>
    </row>
    <row r="102" spans="12:28" x14ac:dyDescent="0.2">
      <c r="L102" s="63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 spans="12:28" x14ac:dyDescent="0.2">
      <c r="L103" s="46"/>
    </row>
    <row r="104" spans="12:28" x14ac:dyDescent="0.2">
      <c r="L104" s="46"/>
    </row>
    <row r="105" spans="12:28" x14ac:dyDescent="0.2">
      <c r="L105" s="46"/>
    </row>
    <row r="106" spans="12:28" x14ac:dyDescent="0.2">
      <c r="L106" s="46"/>
      <c r="R106" s="46"/>
    </row>
    <row r="107" spans="12:28" x14ac:dyDescent="0.2">
      <c r="L107" s="46"/>
      <c r="M107" s="46"/>
      <c r="N107" s="46"/>
      <c r="O107" s="46"/>
      <c r="P107" s="46"/>
      <c r="Q107" s="46"/>
    </row>
    <row r="108" spans="12:28" x14ac:dyDescent="0.2">
      <c r="L108" s="46"/>
    </row>
    <row r="109" spans="12:28" x14ac:dyDescent="0.2">
      <c r="L109" s="46"/>
    </row>
    <row r="110" spans="12:28" x14ac:dyDescent="0.2">
      <c r="L110" s="46"/>
    </row>
    <row r="111" spans="12:28" x14ac:dyDescent="0.2">
      <c r="L111" s="46"/>
    </row>
    <row r="112" spans="12:28" x14ac:dyDescent="0.2">
      <c r="L112" s="46"/>
    </row>
    <row r="113" spans="12:20" x14ac:dyDescent="0.2">
      <c r="L113" s="46"/>
    </row>
    <row r="114" spans="12:20" x14ac:dyDescent="0.2">
      <c r="L114" s="46"/>
      <c r="O114" s="46"/>
      <c r="T114" s="46"/>
    </row>
    <row r="115" spans="12:20" x14ac:dyDescent="0.2">
      <c r="L115" s="46"/>
      <c r="S115" s="69"/>
      <c r="T115" s="46"/>
    </row>
    <row r="116" spans="12:20" x14ac:dyDescent="0.2">
      <c r="L116" s="46"/>
    </row>
    <row r="117" spans="12:20" x14ac:dyDescent="0.2">
      <c r="L117" s="46"/>
    </row>
    <row r="118" spans="12:20" x14ac:dyDescent="0.2">
      <c r="L118" s="46"/>
    </row>
    <row r="119" spans="12:20" x14ac:dyDescent="0.2">
      <c r="L119" s="46"/>
    </row>
    <row r="120" spans="12:20" x14ac:dyDescent="0.2">
      <c r="L120" s="46"/>
    </row>
    <row r="121" spans="12:20" x14ac:dyDescent="0.2">
      <c r="L121" s="46"/>
    </row>
    <row r="122" spans="12:20" x14ac:dyDescent="0.2">
      <c r="L122" s="46"/>
    </row>
    <row r="123" spans="12:20" x14ac:dyDescent="0.2">
      <c r="L123" s="46"/>
    </row>
    <row r="124" spans="12:20" x14ac:dyDescent="0.2">
      <c r="L124" s="46"/>
    </row>
    <row r="125" spans="12:20" x14ac:dyDescent="0.2">
      <c r="L125" s="46"/>
    </row>
    <row r="126" spans="12:20" x14ac:dyDescent="0.2">
      <c r="L126" s="46"/>
    </row>
    <row r="127" spans="12:20" x14ac:dyDescent="0.2">
      <c r="L127" s="46"/>
    </row>
    <row r="128" spans="12:20" x14ac:dyDescent="0.2">
      <c r="L128" s="46"/>
    </row>
    <row r="129" spans="12:12" x14ac:dyDescent="0.2">
      <c r="L129" s="46"/>
    </row>
    <row r="130" spans="12:12" x14ac:dyDescent="0.2">
      <c r="L130" s="46"/>
    </row>
    <row r="131" spans="12:12" x14ac:dyDescent="0.2">
      <c r="L131" s="46"/>
    </row>
    <row r="132" spans="12:12" x14ac:dyDescent="0.2">
      <c r="L132" s="46"/>
    </row>
    <row r="133" spans="12:12" x14ac:dyDescent="0.2">
      <c r="L133" s="46"/>
    </row>
    <row r="134" spans="12:12" x14ac:dyDescent="0.2">
      <c r="L134" s="46"/>
    </row>
    <row r="135" spans="12:12" x14ac:dyDescent="0.2">
      <c r="L135" s="46"/>
    </row>
    <row r="136" spans="12:12" x14ac:dyDescent="0.2">
      <c r="L136" s="46"/>
    </row>
    <row r="137" spans="12:12" x14ac:dyDescent="0.2">
      <c r="L137" s="46"/>
    </row>
    <row r="138" spans="12:12" x14ac:dyDescent="0.2">
      <c r="L138" s="46"/>
    </row>
    <row r="139" spans="12:12" x14ac:dyDescent="0.2">
      <c r="L139" s="46"/>
    </row>
    <row r="140" spans="12:12" x14ac:dyDescent="0.2">
      <c r="L140" s="46"/>
    </row>
    <row r="141" spans="12:12" x14ac:dyDescent="0.2">
      <c r="L141" s="46"/>
    </row>
    <row r="142" spans="12:12" x14ac:dyDescent="0.2">
      <c r="L142" s="46"/>
    </row>
    <row r="143" spans="12:12" x14ac:dyDescent="0.2">
      <c r="L143" s="46"/>
    </row>
    <row r="144" spans="12:12" x14ac:dyDescent="0.2">
      <c r="L144" s="46"/>
    </row>
    <row r="145" spans="12:12" x14ac:dyDescent="0.2">
      <c r="L145" s="46"/>
    </row>
    <row r="146" spans="12:12" x14ac:dyDescent="0.2">
      <c r="L146" s="46"/>
    </row>
    <row r="147" spans="12:12" x14ac:dyDescent="0.2">
      <c r="L147" s="46"/>
    </row>
    <row r="148" spans="12:12" x14ac:dyDescent="0.2">
      <c r="L148" s="46"/>
    </row>
    <row r="149" spans="12:12" x14ac:dyDescent="0.2">
      <c r="L149" s="46"/>
    </row>
    <row r="150" spans="12:12" x14ac:dyDescent="0.2">
      <c r="L150" s="46"/>
    </row>
    <row r="151" spans="12:12" x14ac:dyDescent="0.2">
      <c r="L151" s="46"/>
    </row>
    <row r="152" spans="12:12" x14ac:dyDescent="0.2">
      <c r="L152" s="46"/>
    </row>
    <row r="153" spans="12:12" x14ac:dyDescent="0.2">
      <c r="L153" s="46"/>
    </row>
    <row r="154" spans="12:12" x14ac:dyDescent="0.2">
      <c r="L154" s="46"/>
    </row>
    <row r="155" spans="12:12" x14ac:dyDescent="0.2">
      <c r="L155" s="46"/>
    </row>
    <row r="156" spans="12:12" x14ac:dyDescent="0.2">
      <c r="L156" s="46"/>
    </row>
    <row r="157" spans="12:12" x14ac:dyDescent="0.2">
      <c r="L157" s="46"/>
    </row>
    <row r="158" spans="12:12" x14ac:dyDescent="0.2">
      <c r="L158" s="46"/>
    </row>
    <row r="159" spans="12:12" x14ac:dyDescent="0.2">
      <c r="L159" s="46"/>
    </row>
    <row r="160" spans="12:12" x14ac:dyDescent="0.2">
      <c r="L160" s="46"/>
    </row>
    <row r="161" spans="12:12" x14ac:dyDescent="0.2">
      <c r="L161" s="46"/>
    </row>
    <row r="162" spans="12:12" x14ac:dyDescent="0.2">
      <c r="L162" s="46"/>
    </row>
    <row r="163" spans="12:12" x14ac:dyDescent="0.2">
      <c r="L163" s="46"/>
    </row>
    <row r="164" spans="12:12" x14ac:dyDescent="0.2">
      <c r="L164" s="46"/>
    </row>
    <row r="165" spans="12:12" x14ac:dyDescent="0.2">
      <c r="L165" s="46"/>
    </row>
    <row r="166" spans="12:12" x14ac:dyDescent="0.2">
      <c r="L166" s="46"/>
    </row>
    <row r="167" spans="12:12" x14ac:dyDescent="0.2">
      <c r="L167" s="46"/>
    </row>
    <row r="168" spans="12:12" x14ac:dyDescent="0.2">
      <c r="L168" s="46"/>
    </row>
    <row r="169" spans="12:12" x14ac:dyDescent="0.2">
      <c r="L169" s="46"/>
    </row>
    <row r="170" spans="12:12" x14ac:dyDescent="0.2">
      <c r="L170" s="46"/>
    </row>
    <row r="171" spans="12:12" x14ac:dyDescent="0.2">
      <c r="L171" s="46"/>
    </row>
    <row r="172" spans="12:12" x14ac:dyDescent="0.2">
      <c r="L172" s="46"/>
    </row>
    <row r="173" spans="12:12" x14ac:dyDescent="0.2">
      <c r="L173" s="46"/>
    </row>
    <row r="174" spans="12:12" x14ac:dyDescent="0.2">
      <c r="L174" s="46"/>
    </row>
    <row r="175" spans="12:12" x14ac:dyDescent="0.2">
      <c r="L175" s="46"/>
    </row>
    <row r="176" spans="12:12" x14ac:dyDescent="0.2">
      <c r="L176" s="46"/>
    </row>
    <row r="177" spans="12:12" x14ac:dyDescent="0.2">
      <c r="L177" s="46"/>
    </row>
    <row r="178" spans="12:12" x14ac:dyDescent="0.2">
      <c r="L178" s="46"/>
    </row>
    <row r="179" spans="12:12" x14ac:dyDescent="0.2">
      <c r="L179" s="46"/>
    </row>
    <row r="180" spans="12:12" x14ac:dyDescent="0.2">
      <c r="L180" s="46"/>
    </row>
    <row r="181" spans="12:12" x14ac:dyDescent="0.2">
      <c r="L181" s="46"/>
    </row>
    <row r="182" spans="12:12" x14ac:dyDescent="0.2">
      <c r="L182" s="46"/>
    </row>
    <row r="183" spans="12:12" x14ac:dyDescent="0.2">
      <c r="L183" s="46"/>
    </row>
    <row r="184" spans="12:12" x14ac:dyDescent="0.2">
      <c r="L184" s="46"/>
    </row>
    <row r="185" spans="12:12" x14ac:dyDescent="0.2">
      <c r="L185" s="46"/>
    </row>
    <row r="186" spans="12:12" x14ac:dyDescent="0.2">
      <c r="L186" s="46"/>
    </row>
    <row r="187" spans="12:12" x14ac:dyDescent="0.2">
      <c r="L187" s="46"/>
    </row>
    <row r="188" spans="12:12" x14ac:dyDescent="0.2">
      <c r="L188" s="46"/>
    </row>
    <row r="189" spans="12:12" x14ac:dyDescent="0.2">
      <c r="L189" s="46"/>
    </row>
    <row r="190" spans="12:12" x14ac:dyDescent="0.2">
      <c r="L190" s="46"/>
    </row>
    <row r="191" spans="12:12" x14ac:dyDescent="0.2">
      <c r="L191" s="46"/>
    </row>
    <row r="192" spans="12:12" x14ac:dyDescent="0.2">
      <c r="L192" s="46"/>
    </row>
    <row r="193" spans="12:12" x14ac:dyDescent="0.2">
      <c r="L193" s="46"/>
    </row>
    <row r="194" spans="12:12" x14ac:dyDescent="0.2">
      <c r="L194" s="46"/>
    </row>
    <row r="195" spans="12:12" x14ac:dyDescent="0.2">
      <c r="L195" s="46"/>
    </row>
    <row r="196" spans="12:12" x14ac:dyDescent="0.2">
      <c r="L196" s="46"/>
    </row>
    <row r="197" spans="12:12" x14ac:dyDescent="0.2">
      <c r="L197" s="46"/>
    </row>
    <row r="198" spans="12:12" x14ac:dyDescent="0.2">
      <c r="L198" s="46"/>
    </row>
    <row r="199" spans="12:12" x14ac:dyDescent="0.2">
      <c r="L199" s="46"/>
    </row>
    <row r="200" spans="12:12" x14ac:dyDescent="0.2">
      <c r="L200" s="46"/>
    </row>
    <row r="201" spans="12:12" x14ac:dyDescent="0.2">
      <c r="L201" s="46"/>
    </row>
    <row r="202" spans="12:12" x14ac:dyDescent="0.2">
      <c r="L202" s="46"/>
    </row>
    <row r="203" spans="12:12" x14ac:dyDescent="0.2">
      <c r="L203" s="46"/>
    </row>
    <row r="204" spans="12:12" x14ac:dyDescent="0.2">
      <c r="L204" s="46"/>
    </row>
    <row r="205" spans="12:12" x14ac:dyDescent="0.2">
      <c r="L205" s="46"/>
    </row>
    <row r="206" spans="12:12" x14ac:dyDescent="0.2">
      <c r="L206" s="46"/>
    </row>
    <row r="207" spans="12:12" x14ac:dyDescent="0.2">
      <c r="L207" s="46"/>
    </row>
    <row r="208" spans="12:12" x14ac:dyDescent="0.2">
      <c r="L208" s="46"/>
    </row>
    <row r="209" spans="12:12" x14ac:dyDescent="0.2">
      <c r="L209" s="46"/>
    </row>
    <row r="210" spans="12:12" x14ac:dyDescent="0.2">
      <c r="L210" s="46"/>
    </row>
    <row r="211" spans="12:12" x14ac:dyDescent="0.2">
      <c r="L211" s="46"/>
    </row>
    <row r="212" spans="12:12" x14ac:dyDescent="0.2">
      <c r="L212" s="46"/>
    </row>
    <row r="213" spans="12:12" x14ac:dyDescent="0.2">
      <c r="L213" s="46"/>
    </row>
    <row r="214" spans="12:12" x14ac:dyDescent="0.2">
      <c r="L214" s="46"/>
    </row>
    <row r="215" spans="12:12" x14ac:dyDescent="0.2">
      <c r="L215" s="46"/>
    </row>
    <row r="216" spans="12:12" x14ac:dyDescent="0.2">
      <c r="L216" s="46"/>
    </row>
    <row r="217" spans="12:12" x14ac:dyDescent="0.2">
      <c r="L217" s="46"/>
    </row>
    <row r="218" spans="12:12" x14ac:dyDescent="0.2">
      <c r="L218" s="46"/>
    </row>
    <row r="219" spans="12:12" x14ac:dyDescent="0.2">
      <c r="L219" s="46"/>
    </row>
    <row r="220" spans="12:12" x14ac:dyDescent="0.2">
      <c r="L220" s="46"/>
    </row>
    <row r="221" spans="12:12" x14ac:dyDescent="0.2">
      <c r="L221" s="46"/>
    </row>
    <row r="222" spans="12:12" x14ac:dyDescent="0.2">
      <c r="L222" s="46"/>
    </row>
    <row r="223" spans="12:12" x14ac:dyDescent="0.2">
      <c r="L223" s="46"/>
    </row>
    <row r="224" spans="12:12" x14ac:dyDescent="0.2">
      <c r="L224" s="46"/>
    </row>
    <row r="225" spans="12:12" x14ac:dyDescent="0.2">
      <c r="L225" s="46"/>
    </row>
    <row r="226" spans="12:12" x14ac:dyDescent="0.2">
      <c r="L226" s="46"/>
    </row>
    <row r="227" spans="12:12" x14ac:dyDescent="0.2">
      <c r="L227" s="46"/>
    </row>
    <row r="228" spans="12:12" x14ac:dyDescent="0.2">
      <c r="L228" s="46"/>
    </row>
    <row r="229" spans="12:12" x14ac:dyDescent="0.2">
      <c r="L229" s="46"/>
    </row>
    <row r="230" spans="12:12" x14ac:dyDescent="0.2">
      <c r="L230" s="46"/>
    </row>
    <row r="231" spans="12:12" x14ac:dyDescent="0.2">
      <c r="L231" s="46"/>
    </row>
    <row r="232" spans="12:12" x14ac:dyDescent="0.2">
      <c r="L232" s="46"/>
    </row>
    <row r="233" spans="12:12" x14ac:dyDescent="0.2">
      <c r="L233" s="46"/>
    </row>
    <row r="234" spans="12:12" x14ac:dyDescent="0.2">
      <c r="L234" s="46"/>
    </row>
    <row r="235" spans="12:12" x14ac:dyDescent="0.2">
      <c r="L235" s="46"/>
    </row>
    <row r="236" spans="12:12" x14ac:dyDescent="0.2">
      <c r="L236" s="46"/>
    </row>
    <row r="237" spans="12:12" x14ac:dyDescent="0.2">
      <c r="L237" s="46"/>
    </row>
    <row r="238" spans="12:12" x14ac:dyDescent="0.2">
      <c r="L238" s="46"/>
    </row>
    <row r="239" spans="12:12" x14ac:dyDescent="0.2">
      <c r="L239" s="46"/>
    </row>
    <row r="240" spans="12:12" x14ac:dyDescent="0.2">
      <c r="L240" s="46"/>
    </row>
    <row r="241" spans="12:12" x14ac:dyDescent="0.2">
      <c r="L241" s="46"/>
    </row>
    <row r="242" spans="12:12" x14ac:dyDescent="0.2">
      <c r="L242" s="46"/>
    </row>
    <row r="243" spans="12:12" x14ac:dyDescent="0.2">
      <c r="L243" s="46"/>
    </row>
    <row r="244" spans="12:12" x14ac:dyDescent="0.2">
      <c r="L244" s="46"/>
    </row>
    <row r="245" spans="12:12" x14ac:dyDescent="0.2">
      <c r="L245" s="46"/>
    </row>
    <row r="246" spans="12:12" x14ac:dyDescent="0.2">
      <c r="L246" s="46"/>
    </row>
    <row r="247" spans="12:12" x14ac:dyDescent="0.2">
      <c r="L247" s="46"/>
    </row>
    <row r="248" spans="12:12" x14ac:dyDescent="0.2">
      <c r="L248" s="46"/>
    </row>
    <row r="249" spans="12:12" x14ac:dyDescent="0.2">
      <c r="L249" s="46"/>
    </row>
    <row r="250" spans="12:12" x14ac:dyDescent="0.2">
      <c r="L250" s="46"/>
    </row>
    <row r="251" spans="12:12" x14ac:dyDescent="0.2">
      <c r="L251" s="46"/>
    </row>
    <row r="252" spans="12:12" x14ac:dyDescent="0.2">
      <c r="L252" s="46"/>
    </row>
    <row r="253" spans="12:12" x14ac:dyDescent="0.2">
      <c r="L253" s="46"/>
    </row>
    <row r="254" spans="12:12" x14ac:dyDescent="0.2">
      <c r="L254" s="46"/>
    </row>
    <row r="255" spans="12:12" x14ac:dyDescent="0.2">
      <c r="L255" s="46"/>
    </row>
    <row r="256" spans="12:12" x14ac:dyDescent="0.2">
      <c r="L256" s="46"/>
    </row>
    <row r="257" spans="12:12" x14ac:dyDescent="0.2">
      <c r="L257" s="46"/>
    </row>
    <row r="258" spans="12:12" x14ac:dyDescent="0.2">
      <c r="L258" s="46"/>
    </row>
    <row r="259" spans="12:12" x14ac:dyDescent="0.2">
      <c r="L259" s="46"/>
    </row>
    <row r="260" spans="12:12" x14ac:dyDescent="0.2">
      <c r="L260" s="46"/>
    </row>
    <row r="261" spans="12:12" x14ac:dyDescent="0.2">
      <c r="L261" s="46"/>
    </row>
    <row r="262" spans="12:12" x14ac:dyDescent="0.2">
      <c r="L262" s="46"/>
    </row>
    <row r="263" spans="12:12" x14ac:dyDescent="0.2">
      <c r="L263" s="46"/>
    </row>
    <row r="264" spans="12:12" x14ac:dyDescent="0.2">
      <c r="L264" s="46"/>
    </row>
    <row r="265" spans="12:12" x14ac:dyDescent="0.2">
      <c r="L265" s="46"/>
    </row>
    <row r="266" spans="12:12" x14ac:dyDescent="0.2">
      <c r="L266" s="46"/>
    </row>
    <row r="267" spans="12:12" x14ac:dyDescent="0.2">
      <c r="L267" s="46"/>
    </row>
    <row r="268" spans="12:12" x14ac:dyDescent="0.2">
      <c r="L268" s="46"/>
    </row>
    <row r="269" spans="12:12" x14ac:dyDescent="0.2">
      <c r="L269" s="46"/>
    </row>
    <row r="270" spans="12:12" x14ac:dyDescent="0.2">
      <c r="L270" s="46"/>
    </row>
    <row r="271" spans="12:12" x14ac:dyDescent="0.2">
      <c r="L271" s="46"/>
    </row>
    <row r="272" spans="12:12" x14ac:dyDescent="0.2">
      <c r="L272" s="46"/>
    </row>
    <row r="273" spans="12:12" x14ac:dyDescent="0.2">
      <c r="L273" s="46"/>
    </row>
    <row r="274" spans="12:12" x14ac:dyDescent="0.2">
      <c r="L274" s="46"/>
    </row>
    <row r="275" spans="12:12" x14ac:dyDescent="0.2">
      <c r="L275" s="46"/>
    </row>
    <row r="276" spans="12:12" x14ac:dyDescent="0.2">
      <c r="L276" s="46"/>
    </row>
    <row r="277" spans="12:12" x14ac:dyDescent="0.2">
      <c r="L277" s="46"/>
    </row>
    <row r="278" spans="12:12" x14ac:dyDescent="0.2">
      <c r="L278" s="46"/>
    </row>
    <row r="279" spans="12:12" x14ac:dyDescent="0.2">
      <c r="L279" s="46"/>
    </row>
    <row r="280" spans="12:12" x14ac:dyDescent="0.2">
      <c r="L280" s="46"/>
    </row>
    <row r="281" spans="12:12" x14ac:dyDescent="0.2">
      <c r="L281" s="46"/>
    </row>
    <row r="282" spans="12:12" x14ac:dyDescent="0.2">
      <c r="L282" s="46"/>
    </row>
    <row r="283" spans="12:12" x14ac:dyDescent="0.2">
      <c r="L283" s="46"/>
    </row>
    <row r="284" spans="12:12" x14ac:dyDescent="0.2">
      <c r="L284" s="46"/>
    </row>
    <row r="285" spans="12:12" x14ac:dyDescent="0.2">
      <c r="L285" s="46"/>
    </row>
    <row r="286" spans="12:12" x14ac:dyDescent="0.2">
      <c r="L286" s="46"/>
    </row>
    <row r="287" spans="12:12" x14ac:dyDescent="0.2">
      <c r="L287" s="46"/>
    </row>
    <row r="288" spans="12:12" x14ac:dyDescent="0.2">
      <c r="L288" s="46"/>
    </row>
    <row r="289" spans="12:12" x14ac:dyDescent="0.2">
      <c r="L289" s="46"/>
    </row>
    <row r="290" spans="12:12" x14ac:dyDescent="0.2">
      <c r="L290" s="46"/>
    </row>
    <row r="291" spans="12:12" x14ac:dyDescent="0.2">
      <c r="L291" s="46"/>
    </row>
    <row r="292" spans="12:12" x14ac:dyDescent="0.2">
      <c r="L292" s="46"/>
    </row>
    <row r="293" spans="12:12" x14ac:dyDescent="0.2">
      <c r="L293" s="46"/>
    </row>
    <row r="294" spans="12:12" x14ac:dyDescent="0.2">
      <c r="L294" s="46"/>
    </row>
    <row r="295" spans="12:12" x14ac:dyDescent="0.2">
      <c r="L295" s="46"/>
    </row>
    <row r="296" spans="12:12" x14ac:dyDescent="0.2">
      <c r="L296" s="46"/>
    </row>
    <row r="297" spans="12:12" x14ac:dyDescent="0.2">
      <c r="L297" s="46"/>
    </row>
    <row r="298" spans="12:12" x14ac:dyDescent="0.2">
      <c r="L298" s="46"/>
    </row>
    <row r="299" spans="12:12" x14ac:dyDescent="0.2">
      <c r="L299" s="46"/>
    </row>
    <row r="300" spans="12:12" x14ac:dyDescent="0.2">
      <c r="L300" s="46"/>
    </row>
    <row r="301" spans="12:12" x14ac:dyDescent="0.2">
      <c r="L301" s="46"/>
    </row>
    <row r="302" spans="12:12" x14ac:dyDescent="0.2">
      <c r="L302" s="46"/>
    </row>
    <row r="303" spans="12:12" x14ac:dyDescent="0.2">
      <c r="L303" s="46"/>
    </row>
    <row r="304" spans="12:12" x14ac:dyDescent="0.2">
      <c r="L304" s="46"/>
    </row>
    <row r="305" spans="12:12" x14ac:dyDescent="0.2">
      <c r="L305" s="46"/>
    </row>
    <row r="306" spans="12:12" x14ac:dyDescent="0.2">
      <c r="L306" s="46"/>
    </row>
    <row r="307" spans="12:12" x14ac:dyDescent="0.2">
      <c r="L307" s="46"/>
    </row>
    <row r="308" spans="12:12" x14ac:dyDescent="0.2">
      <c r="L308" s="46"/>
    </row>
    <row r="309" spans="12:12" x14ac:dyDescent="0.2">
      <c r="L309" s="46"/>
    </row>
    <row r="310" spans="12:12" x14ac:dyDescent="0.2">
      <c r="L310" s="46"/>
    </row>
    <row r="311" spans="12:12" x14ac:dyDescent="0.2">
      <c r="L311" s="46"/>
    </row>
    <row r="312" spans="12:12" x14ac:dyDescent="0.2">
      <c r="L312" s="46"/>
    </row>
    <row r="313" spans="12:12" x14ac:dyDescent="0.2">
      <c r="L313" s="46"/>
    </row>
    <row r="314" spans="12:12" x14ac:dyDescent="0.2">
      <c r="L314" s="46"/>
    </row>
    <row r="315" spans="12:12" x14ac:dyDescent="0.2">
      <c r="L315" s="46"/>
    </row>
    <row r="316" spans="12:12" x14ac:dyDescent="0.2">
      <c r="L316" s="46"/>
    </row>
    <row r="317" spans="12:12" x14ac:dyDescent="0.2">
      <c r="L317" s="46"/>
    </row>
    <row r="318" spans="12:12" x14ac:dyDescent="0.2">
      <c r="L318" s="46"/>
    </row>
    <row r="319" spans="12:12" x14ac:dyDescent="0.2">
      <c r="L319" s="46"/>
    </row>
    <row r="320" spans="12:12" x14ac:dyDescent="0.2">
      <c r="L320" s="46"/>
    </row>
    <row r="321" spans="12:12" x14ac:dyDescent="0.2">
      <c r="L321" s="46"/>
    </row>
    <row r="322" spans="12:12" x14ac:dyDescent="0.2">
      <c r="L322" s="46"/>
    </row>
    <row r="323" spans="12:12" x14ac:dyDescent="0.2">
      <c r="L323" s="46"/>
    </row>
    <row r="324" spans="12:12" x14ac:dyDescent="0.2">
      <c r="L324" s="46"/>
    </row>
    <row r="325" spans="12:12" x14ac:dyDescent="0.2">
      <c r="L325" s="46"/>
    </row>
    <row r="326" spans="12:12" x14ac:dyDescent="0.2">
      <c r="L326" s="46"/>
    </row>
    <row r="327" spans="12:12" x14ac:dyDescent="0.2">
      <c r="L327" s="46"/>
    </row>
    <row r="328" spans="12:12" x14ac:dyDescent="0.2">
      <c r="L328" s="46"/>
    </row>
    <row r="329" spans="12:12" x14ac:dyDescent="0.2">
      <c r="L329" s="46"/>
    </row>
    <row r="330" spans="12:12" x14ac:dyDescent="0.2">
      <c r="L330" s="46"/>
    </row>
    <row r="331" spans="12:12" x14ac:dyDescent="0.2">
      <c r="L331" s="46"/>
    </row>
    <row r="332" spans="12:12" x14ac:dyDescent="0.2">
      <c r="L332" s="46"/>
    </row>
    <row r="333" spans="12:12" x14ac:dyDescent="0.2">
      <c r="L333" s="46"/>
    </row>
    <row r="334" spans="12:12" x14ac:dyDescent="0.2">
      <c r="L334" s="46"/>
    </row>
    <row r="335" spans="12:12" x14ac:dyDescent="0.2">
      <c r="L335" s="46"/>
    </row>
    <row r="336" spans="12:12" x14ac:dyDescent="0.2">
      <c r="L336" s="46"/>
    </row>
    <row r="337" spans="12:12" x14ac:dyDescent="0.2">
      <c r="L337" s="46"/>
    </row>
    <row r="338" spans="12:12" x14ac:dyDescent="0.2">
      <c r="L338" s="46"/>
    </row>
    <row r="339" spans="12:12" x14ac:dyDescent="0.2">
      <c r="L339" s="46"/>
    </row>
    <row r="340" spans="12:12" x14ac:dyDescent="0.2">
      <c r="L340" s="46"/>
    </row>
    <row r="341" spans="12:12" x14ac:dyDescent="0.2">
      <c r="L341" s="46"/>
    </row>
    <row r="342" spans="12:12" x14ac:dyDescent="0.2">
      <c r="L342" s="46"/>
    </row>
    <row r="343" spans="12:12" x14ac:dyDescent="0.2">
      <c r="L343" s="46"/>
    </row>
    <row r="344" spans="12:12" x14ac:dyDescent="0.2">
      <c r="L344" s="46"/>
    </row>
    <row r="345" spans="12:12" x14ac:dyDescent="0.2">
      <c r="L345" s="46"/>
    </row>
    <row r="346" spans="12:12" x14ac:dyDescent="0.2">
      <c r="L346" s="46"/>
    </row>
    <row r="347" spans="12:12" x14ac:dyDescent="0.2">
      <c r="L347" s="46"/>
    </row>
    <row r="348" spans="12:12" x14ac:dyDescent="0.2">
      <c r="L348" s="46"/>
    </row>
    <row r="349" spans="12:12" x14ac:dyDescent="0.2">
      <c r="L349" s="46"/>
    </row>
    <row r="350" spans="12:12" x14ac:dyDescent="0.2">
      <c r="L350" s="46"/>
    </row>
    <row r="351" spans="12:12" x14ac:dyDescent="0.2">
      <c r="L351" s="46"/>
    </row>
    <row r="352" spans="12:12" x14ac:dyDescent="0.2">
      <c r="L352" s="46"/>
    </row>
    <row r="353" spans="12:12" x14ac:dyDescent="0.2">
      <c r="L353" s="46"/>
    </row>
    <row r="354" spans="12:12" x14ac:dyDescent="0.2">
      <c r="L354" s="46"/>
    </row>
    <row r="355" spans="12:12" x14ac:dyDescent="0.2">
      <c r="L355" s="46"/>
    </row>
    <row r="356" spans="12:12" x14ac:dyDescent="0.2">
      <c r="L356" s="46"/>
    </row>
    <row r="357" spans="12:12" x14ac:dyDescent="0.2">
      <c r="L357" s="46"/>
    </row>
    <row r="358" spans="12:12" x14ac:dyDescent="0.2">
      <c r="L358" s="46"/>
    </row>
    <row r="359" spans="12:12" x14ac:dyDescent="0.2">
      <c r="L359" s="46"/>
    </row>
    <row r="360" spans="12:12" x14ac:dyDescent="0.2">
      <c r="L360" s="46"/>
    </row>
    <row r="361" spans="12:12" x14ac:dyDescent="0.2">
      <c r="L361" s="46"/>
    </row>
    <row r="362" spans="12:12" x14ac:dyDescent="0.2">
      <c r="L362" s="46"/>
    </row>
    <row r="363" spans="12:12" x14ac:dyDescent="0.2">
      <c r="L363" s="46"/>
    </row>
    <row r="364" spans="12:12" x14ac:dyDescent="0.2">
      <c r="L364" s="46"/>
    </row>
    <row r="365" spans="12:12" x14ac:dyDescent="0.2">
      <c r="L365" s="46"/>
    </row>
    <row r="366" spans="12:12" x14ac:dyDescent="0.2">
      <c r="L366" s="46"/>
    </row>
    <row r="367" spans="12:12" x14ac:dyDescent="0.2">
      <c r="L367" s="46"/>
    </row>
    <row r="368" spans="12:12" x14ac:dyDescent="0.2">
      <c r="L368" s="46"/>
    </row>
    <row r="369" spans="12:12" x14ac:dyDescent="0.2">
      <c r="L369" s="46"/>
    </row>
    <row r="370" spans="12:12" x14ac:dyDescent="0.2">
      <c r="L370" s="46"/>
    </row>
    <row r="371" spans="12:12" x14ac:dyDescent="0.2">
      <c r="L371" s="46"/>
    </row>
    <row r="372" spans="12:12" x14ac:dyDescent="0.2">
      <c r="L372" s="46"/>
    </row>
    <row r="373" spans="12:12" x14ac:dyDescent="0.2">
      <c r="L373" s="46"/>
    </row>
    <row r="374" spans="12:12" x14ac:dyDescent="0.2">
      <c r="L374" s="46"/>
    </row>
    <row r="375" spans="12:12" x14ac:dyDescent="0.2">
      <c r="L375" s="46"/>
    </row>
    <row r="376" spans="12:12" x14ac:dyDescent="0.2">
      <c r="L376" s="46"/>
    </row>
    <row r="377" spans="12:12" x14ac:dyDescent="0.2">
      <c r="L377" s="46"/>
    </row>
    <row r="378" spans="12:12" x14ac:dyDescent="0.2">
      <c r="L378" s="46"/>
    </row>
    <row r="379" spans="12:12" x14ac:dyDescent="0.2">
      <c r="L379" s="46"/>
    </row>
    <row r="380" spans="12:12" x14ac:dyDescent="0.2">
      <c r="L380" s="46"/>
    </row>
    <row r="381" spans="12:12" x14ac:dyDescent="0.2">
      <c r="L381" s="46"/>
    </row>
    <row r="382" spans="12:12" x14ac:dyDescent="0.2">
      <c r="L382" s="46"/>
    </row>
    <row r="383" spans="12:12" x14ac:dyDescent="0.2">
      <c r="L383" s="46"/>
    </row>
    <row r="384" spans="12:12" x14ac:dyDescent="0.2">
      <c r="L384" s="46"/>
    </row>
    <row r="385" spans="12:12" x14ac:dyDescent="0.2">
      <c r="L385" s="46"/>
    </row>
    <row r="386" spans="12:12" x14ac:dyDescent="0.2">
      <c r="L386" s="46"/>
    </row>
    <row r="387" spans="12:12" x14ac:dyDescent="0.2">
      <c r="L387" s="46"/>
    </row>
    <row r="388" spans="12:12" x14ac:dyDescent="0.2">
      <c r="L388" s="46"/>
    </row>
    <row r="389" spans="12:12" x14ac:dyDescent="0.2">
      <c r="L389" s="46"/>
    </row>
    <row r="390" spans="12:12" x14ac:dyDescent="0.2">
      <c r="L390" s="46"/>
    </row>
    <row r="391" spans="12:12" x14ac:dyDescent="0.2">
      <c r="L391" s="46"/>
    </row>
    <row r="392" spans="12:12" x14ac:dyDescent="0.2">
      <c r="L392" s="46"/>
    </row>
    <row r="393" spans="12:12" x14ac:dyDescent="0.2">
      <c r="L393" s="46"/>
    </row>
    <row r="394" spans="12:12" x14ac:dyDescent="0.2">
      <c r="L394" s="46"/>
    </row>
    <row r="395" spans="12:12" x14ac:dyDescent="0.2">
      <c r="L395" s="46"/>
    </row>
    <row r="396" spans="12:12" x14ac:dyDescent="0.2">
      <c r="L396" s="46"/>
    </row>
    <row r="397" spans="12:12" x14ac:dyDescent="0.2">
      <c r="L397" s="46"/>
    </row>
    <row r="398" spans="12:12" x14ac:dyDescent="0.2">
      <c r="L398" s="46"/>
    </row>
    <row r="399" spans="12:12" x14ac:dyDescent="0.2">
      <c r="L399" s="46"/>
    </row>
    <row r="400" spans="12:12" x14ac:dyDescent="0.2">
      <c r="L400" s="46"/>
    </row>
    <row r="401" spans="12:12" x14ac:dyDescent="0.2">
      <c r="L401" s="46"/>
    </row>
    <row r="402" spans="12:12" x14ac:dyDescent="0.2">
      <c r="L402" s="46"/>
    </row>
    <row r="403" spans="12:12" x14ac:dyDescent="0.2">
      <c r="L403" s="46"/>
    </row>
    <row r="404" spans="12:12" x14ac:dyDescent="0.2">
      <c r="L404" s="46"/>
    </row>
    <row r="405" spans="12:12" x14ac:dyDescent="0.2">
      <c r="L405" s="46"/>
    </row>
    <row r="406" spans="12:12" x14ac:dyDescent="0.2">
      <c r="L406" s="46"/>
    </row>
    <row r="407" spans="12:12" x14ac:dyDescent="0.2">
      <c r="L407" s="46"/>
    </row>
    <row r="408" spans="12:12" x14ac:dyDescent="0.2">
      <c r="L408" s="46"/>
    </row>
    <row r="409" spans="12:12" x14ac:dyDescent="0.2">
      <c r="L409" s="46"/>
    </row>
    <row r="410" spans="12:12" x14ac:dyDescent="0.2">
      <c r="L410" s="46"/>
    </row>
    <row r="411" spans="12:12" x14ac:dyDescent="0.2">
      <c r="L411" s="46"/>
    </row>
    <row r="412" spans="12:12" x14ac:dyDescent="0.2">
      <c r="L412" s="46"/>
    </row>
    <row r="413" spans="12:12" x14ac:dyDescent="0.2">
      <c r="L413" s="46"/>
    </row>
    <row r="414" spans="12:12" x14ac:dyDescent="0.2">
      <c r="L414" s="46"/>
    </row>
    <row r="415" spans="12:12" x14ac:dyDescent="0.2">
      <c r="L415" s="46"/>
    </row>
    <row r="416" spans="12:12" x14ac:dyDescent="0.2">
      <c r="L416" s="46"/>
    </row>
    <row r="417" spans="12:12" x14ac:dyDescent="0.2">
      <c r="L417" s="46"/>
    </row>
    <row r="418" spans="12:12" x14ac:dyDescent="0.2">
      <c r="L418" s="46"/>
    </row>
    <row r="419" spans="12:12" x14ac:dyDescent="0.2">
      <c r="L419" s="46"/>
    </row>
    <row r="420" spans="12:12" x14ac:dyDescent="0.2">
      <c r="L420" s="46"/>
    </row>
    <row r="421" spans="12:12" x14ac:dyDescent="0.2">
      <c r="L421" s="46"/>
    </row>
    <row r="422" spans="12:12" x14ac:dyDescent="0.2">
      <c r="L422" s="46"/>
    </row>
    <row r="423" spans="12:12" x14ac:dyDescent="0.2">
      <c r="L423" s="46"/>
    </row>
    <row r="424" spans="12:12" x14ac:dyDescent="0.2">
      <c r="L424" s="46"/>
    </row>
    <row r="425" spans="12:12" x14ac:dyDescent="0.2">
      <c r="L425" s="46"/>
    </row>
    <row r="426" spans="12:12" x14ac:dyDescent="0.2">
      <c r="L426" s="46"/>
    </row>
    <row r="427" spans="12:12" x14ac:dyDescent="0.2">
      <c r="L427" s="46"/>
    </row>
    <row r="428" spans="12:12" x14ac:dyDescent="0.2">
      <c r="L428" s="46"/>
    </row>
    <row r="429" spans="12:12" x14ac:dyDescent="0.2">
      <c r="L429" s="46"/>
    </row>
    <row r="430" spans="12:12" x14ac:dyDescent="0.2">
      <c r="L430" s="46"/>
    </row>
    <row r="431" spans="12:12" x14ac:dyDescent="0.2">
      <c r="L431" s="46"/>
    </row>
    <row r="432" spans="12:12" x14ac:dyDescent="0.2">
      <c r="L432" s="46"/>
    </row>
    <row r="433" spans="12:12" x14ac:dyDescent="0.2">
      <c r="L433" s="46"/>
    </row>
    <row r="434" spans="12:12" x14ac:dyDescent="0.2">
      <c r="L434" s="46"/>
    </row>
    <row r="435" spans="12:12" x14ac:dyDescent="0.2">
      <c r="L435" s="46"/>
    </row>
    <row r="436" spans="12:12" x14ac:dyDescent="0.2">
      <c r="L436" s="46"/>
    </row>
    <row r="437" spans="12:12" x14ac:dyDescent="0.2">
      <c r="L437" s="46"/>
    </row>
    <row r="438" spans="12:12" x14ac:dyDescent="0.2">
      <c r="L438" s="46"/>
    </row>
    <row r="439" spans="12:12" x14ac:dyDescent="0.2">
      <c r="L439" s="46"/>
    </row>
    <row r="440" spans="12:12" x14ac:dyDescent="0.2">
      <c r="L440" s="46"/>
    </row>
    <row r="441" spans="12:12" x14ac:dyDescent="0.2">
      <c r="L441" s="46"/>
    </row>
    <row r="442" spans="12:12" x14ac:dyDescent="0.2">
      <c r="L442" s="46"/>
    </row>
    <row r="443" spans="12:12" x14ac:dyDescent="0.2">
      <c r="L443" s="46"/>
    </row>
    <row r="444" spans="12:12" x14ac:dyDescent="0.2">
      <c r="L444" s="46"/>
    </row>
    <row r="445" spans="12:12" x14ac:dyDescent="0.2">
      <c r="L445" s="46"/>
    </row>
    <row r="446" spans="12:12" x14ac:dyDescent="0.2">
      <c r="L446" s="46"/>
    </row>
    <row r="447" spans="12:12" x14ac:dyDescent="0.2">
      <c r="L447" s="46"/>
    </row>
    <row r="448" spans="12:12" x14ac:dyDescent="0.2">
      <c r="L448" s="46"/>
    </row>
    <row r="449" spans="12:12" x14ac:dyDescent="0.2">
      <c r="L449" s="46"/>
    </row>
    <row r="450" spans="12:12" x14ac:dyDescent="0.2">
      <c r="L450" s="46"/>
    </row>
    <row r="451" spans="12:12" x14ac:dyDescent="0.2">
      <c r="L451" s="46"/>
    </row>
    <row r="452" spans="12:12" x14ac:dyDescent="0.2">
      <c r="L452" s="46"/>
    </row>
    <row r="453" spans="12:12" x14ac:dyDescent="0.2">
      <c r="L453" s="46"/>
    </row>
    <row r="454" spans="12:12" x14ac:dyDescent="0.2">
      <c r="L454" s="46"/>
    </row>
    <row r="455" spans="12:12" x14ac:dyDescent="0.2">
      <c r="L455" s="46"/>
    </row>
    <row r="456" spans="12:12" x14ac:dyDescent="0.2">
      <c r="L456" s="46"/>
    </row>
    <row r="457" spans="12:12" x14ac:dyDescent="0.2">
      <c r="L457" s="46"/>
    </row>
    <row r="458" spans="12:12" x14ac:dyDescent="0.2">
      <c r="L458" s="46"/>
    </row>
    <row r="459" spans="12:12" x14ac:dyDescent="0.2">
      <c r="L459" s="46"/>
    </row>
    <row r="460" spans="12:12" x14ac:dyDescent="0.2">
      <c r="L460" s="46"/>
    </row>
    <row r="461" spans="12:12" x14ac:dyDescent="0.2">
      <c r="L461" s="46"/>
    </row>
    <row r="462" spans="12:12" x14ac:dyDescent="0.2">
      <c r="L462" s="46"/>
    </row>
    <row r="463" spans="12:12" x14ac:dyDescent="0.2">
      <c r="L463" s="46"/>
    </row>
    <row r="464" spans="12:12" x14ac:dyDescent="0.2">
      <c r="L464" s="46"/>
    </row>
    <row r="465" spans="12:12" x14ac:dyDescent="0.2">
      <c r="L465" s="46"/>
    </row>
    <row r="466" spans="12:12" x14ac:dyDescent="0.2">
      <c r="L466" s="46"/>
    </row>
    <row r="467" spans="12:12" x14ac:dyDescent="0.2">
      <c r="L467" s="46"/>
    </row>
    <row r="468" spans="12:12" x14ac:dyDescent="0.2">
      <c r="L468" s="46"/>
    </row>
    <row r="469" spans="12:12" x14ac:dyDescent="0.2">
      <c r="L469" s="46"/>
    </row>
    <row r="470" spans="12:12" x14ac:dyDescent="0.2">
      <c r="L470" s="46"/>
    </row>
    <row r="471" spans="12:12" x14ac:dyDescent="0.2">
      <c r="L471" s="46"/>
    </row>
    <row r="472" spans="12:12" x14ac:dyDescent="0.2">
      <c r="L472" s="46"/>
    </row>
    <row r="473" spans="12:12" x14ac:dyDescent="0.2">
      <c r="L473" s="46"/>
    </row>
    <row r="474" spans="12:12" x14ac:dyDescent="0.2">
      <c r="L474" s="46"/>
    </row>
    <row r="475" spans="12:12" x14ac:dyDescent="0.2">
      <c r="L475" s="46"/>
    </row>
    <row r="476" spans="12:12" x14ac:dyDescent="0.2">
      <c r="L476" s="46"/>
    </row>
    <row r="477" spans="12:12" x14ac:dyDescent="0.2">
      <c r="L477" s="46"/>
    </row>
    <row r="478" spans="12:12" x14ac:dyDescent="0.2">
      <c r="L478" s="46"/>
    </row>
    <row r="479" spans="12:12" x14ac:dyDescent="0.2">
      <c r="L479" s="46"/>
    </row>
    <row r="480" spans="12:12" x14ac:dyDescent="0.2">
      <c r="L480" s="46"/>
    </row>
    <row r="481" spans="12:12" x14ac:dyDescent="0.2">
      <c r="L481" s="46"/>
    </row>
    <row r="482" spans="12:12" x14ac:dyDescent="0.2">
      <c r="L482" s="46"/>
    </row>
    <row r="483" spans="12:12" x14ac:dyDescent="0.2">
      <c r="L483" s="46"/>
    </row>
    <row r="484" spans="12:12" x14ac:dyDescent="0.2">
      <c r="L484" s="46"/>
    </row>
    <row r="485" spans="12:12" x14ac:dyDescent="0.2">
      <c r="L485" s="46"/>
    </row>
    <row r="486" spans="12:12" x14ac:dyDescent="0.2">
      <c r="L486" s="46"/>
    </row>
    <row r="487" spans="12:12" x14ac:dyDescent="0.2">
      <c r="L487" s="46"/>
    </row>
    <row r="488" spans="12:12" x14ac:dyDescent="0.2">
      <c r="L488" s="46"/>
    </row>
    <row r="489" spans="12:12" x14ac:dyDescent="0.2">
      <c r="L489" s="46"/>
    </row>
    <row r="490" spans="12:12" x14ac:dyDescent="0.2">
      <c r="L490" s="46"/>
    </row>
    <row r="491" spans="12:12" x14ac:dyDescent="0.2">
      <c r="L491" s="46"/>
    </row>
    <row r="492" spans="12:12" x14ac:dyDescent="0.2">
      <c r="L492" s="46"/>
    </row>
    <row r="493" spans="12:12" x14ac:dyDescent="0.2">
      <c r="L493" s="46"/>
    </row>
    <row r="494" spans="12:12" x14ac:dyDescent="0.2">
      <c r="L494" s="46"/>
    </row>
    <row r="495" spans="12:12" x14ac:dyDescent="0.2">
      <c r="L495" s="46"/>
    </row>
    <row r="496" spans="12:12" x14ac:dyDescent="0.2">
      <c r="L496" s="46"/>
    </row>
    <row r="497" spans="12:12" x14ac:dyDescent="0.2">
      <c r="L497" s="46"/>
    </row>
    <row r="498" spans="12:12" x14ac:dyDescent="0.2">
      <c r="L498" s="46"/>
    </row>
    <row r="499" spans="12:12" x14ac:dyDescent="0.2">
      <c r="L499" s="46"/>
    </row>
    <row r="500" spans="12:12" x14ac:dyDescent="0.2">
      <c r="L500" s="46"/>
    </row>
    <row r="501" spans="12:12" x14ac:dyDescent="0.2">
      <c r="L501" s="46"/>
    </row>
    <row r="502" spans="12:12" x14ac:dyDescent="0.2">
      <c r="L502" s="46"/>
    </row>
    <row r="503" spans="12:12" x14ac:dyDescent="0.2">
      <c r="L503" s="46"/>
    </row>
    <row r="504" spans="12:12" x14ac:dyDescent="0.2">
      <c r="L504" s="46"/>
    </row>
    <row r="505" spans="12:12" x14ac:dyDescent="0.2">
      <c r="L505" s="46"/>
    </row>
    <row r="506" spans="12:12" x14ac:dyDescent="0.2">
      <c r="L506" s="46"/>
    </row>
    <row r="507" spans="12:12" x14ac:dyDescent="0.2">
      <c r="L507" s="46"/>
    </row>
    <row r="508" spans="12:12" x14ac:dyDescent="0.2">
      <c r="L508" s="46"/>
    </row>
    <row r="509" spans="12:12" x14ac:dyDescent="0.2">
      <c r="L509" s="46"/>
    </row>
    <row r="510" spans="12:12" x14ac:dyDescent="0.2">
      <c r="L510" s="46"/>
    </row>
    <row r="511" spans="12:12" x14ac:dyDescent="0.2">
      <c r="L511" s="46"/>
    </row>
    <row r="512" spans="12:12" x14ac:dyDescent="0.2">
      <c r="L512" s="46"/>
    </row>
    <row r="513" spans="12:12" x14ac:dyDescent="0.2">
      <c r="L513" s="46"/>
    </row>
    <row r="514" spans="12:12" x14ac:dyDescent="0.2">
      <c r="L514" s="46"/>
    </row>
    <row r="515" spans="12:12" x14ac:dyDescent="0.2">
      <c r="L515" s="46"/>
    </row>
    <row r="516" spans="12:12" x14ac:dyDescent="0.2">
      <c r="L516" s="46"/>
    </row>
    <row r="517" spans="12:12" x14ac:dyDescent="0.2">
      <c r="L517" s="46"/>
    </row>
    <row r="518" spans="12:12" x14ac:dyDescent="0.2">
      <c r="L518" s="46"/>
    </row>
    <row r="519" spans="12:12" x14ac:dyDescent="0.2">
      <c r="L519" s="46"/>
    </row>
    <row r="520" spans="12:12" x14ac:dyDescent="0.2">
      <c r="L520" s="46"/>
    </row>
    <row r="521" spans="12:12" x14ac:dyDescent="0.2">
      <c r="L521" s="46"/>
    </row>
    <row r="522" spans="12:12" x14ac:dyDescent="0.2">
      <c r="L522" s="46"/>
    </row>
    <row r="523" spans="12:12" x14ac:dyDescent="0.2">
      <c r="L523" s="46"/>
    </row>
    <row r="524" spans="12:12" x14ac:dyDescent="0.2">
      <c r="L524" s="46"/>
    </row>
    <row r="525" spans="12:12" x14ac:dyDescent="0.2">
      <c r="L525" s="46"/>
    </row>
    <row r="526" spans="12:12" x14ac:dyDescent="0.2">
      <c r="L526" s="46"/>
    </row>
    <row r="527" spans="12:12" x14ac:dyDescent="0.2">
      <c r="L527" s="46"/>
    </row>
    <row r="528" spans="12:12" x14ac:dyDescent="0.2">
      <c r="L528" s="46"/>
    </row>
    <row r="529" spans="12:12" x14ac:dyDescent="0.2">
      <c r="L529" s="46"/>
    </row>
    <row r="530" spans="12:12" x14ac:dyDescent="0.2">
      <c r="L530" s="46"/>
    </row>
    <row r="531" spans="12:12" x14ac:dyDescent="0.2">
      <c r="L531" s="46"/>
    </row>
    <row r="532" spans="12:12" x14ac:dyDescent="0.2">
      <c r="L532" s="46"/>
    </row>
    <row r="533" spans="12:12" x14ac:dyDescent="0.2">
      <c r="L533" s="46"/>
    </row>
    <row r="534" spans="12:12" x14ac:dyDescent="0.2">
      <c r="L534" s="46"/>
    </row>
    <row r="535" spans="12:12" x14ac:dyDescent="0.2">
      <c r="L535" s="46"/>
    </row>
    <row r="536" spans="12:12" x14ac:dyDescent="0.2">
      <c r="L536" s="46"/>
    </row>
    <row r="537" spans="12:12" x14ac:dyDescent="0.2">
      <c r="L537" s="46"/>
    </row>
    <row r="538" spans="12:12" x14ac:dyDescent="0.2">
      <c r="L538" s="46"/>
    </row>
    <row r="539" spans="12:12" x14ac:dyDescent="0.2">
      <c r="L539" s="46"/>
    </row>
    <row r="540" spans="12:12" x14ac:dyDescent="0.2">
      <c r="L540" s="46"/>
    </row>
    <row r="541" spans="12:12" x14ac:dyDescent="0.2">
      <c r="L541" s="46"/>
    </row>
    <row r="542" spans="12:12" x14ac:dyDescent="0.2">
      <c r="L542" s="46"/>
    </row>
    <row r="543" spans="12:12" x14ac:dyDescent="0.2">
      <c r="L543" s="46"/>
    </row>
    <row r="544" spans="12:12" x14ac:dyDescent="0.2">
      <c r="L544" s="46"/>
    </row>
    <row r="545" spans="12:12" x14ac:dyDescent="0.2">
      <c r="L545" s="46"/>
    </row>
    <row r="546" spans="12:12" x14ac:dyDescent="0.2">
      <c r="L546" s="46"/>
    </row>
    <row r="547" spans="12:12" x14ac:dyDescent="0.2">
      <c r="L547" s="46"/>
    </row>
    <row r="548" spans="12:12" x14ac:dyDescent="0.2">
      <c r="L548" s="46"/>
    </row>
    <row r="549" spans="12:12" x14ac:dyDescent="0.2">
      <c r="L549" s="46"/>
    </row>
    <row r="550" spans="12:12" x14ac:dyDescent="0.2">
      <c r="L550" s="46"/>
    </row>
    <row r="551" spans="12:12" x14ac:dyDescent="0.2">
      <c r="L551" s="46"/>
    </row>
    <row r="552" spans="12:12" x14ac:dyDescent="0.2">
      <c r="L552" s="46"/>
    </row>
    <row r="553" spans="12:12" x14ac:dyDescent="0.2">
      <c r="L553" s="46"/>
    </row>
    <row r="554" spans="12:12" x14ac:dyDescent="0.2">
      <c r="L554" s="46"/>
    </row>
    <row r="555" spans="12:12" x14ac:dyDescent="0.2">
      <c r="L555" s="46"/>
    </row>
    <row r="556" spans="12:12" x14ac:dyDescent="0.2">
      <c r="L556" s="46"/>
    </row>
    <row r="557" spans="12:12" x14ac:dyDescent="0.2">
      <c r="L557" s="46"/>
    </row>
    <row r="558" spans="12:12" x14ac:dyDescent="0.2">
      <c r="L558" s="46"/>
    </row>
    <row r="559" spans="12:12" x14ac:dyDescent="0.2">
      <c r="L559" s="46"/>
    </row>
    <row r="560" spans="12:12" x14ac:dyDescent="0.2">
      <c r="L560" s="46"/>
    </row>
    <row r="561" spans="12:12" x14ac:dyDescent="0.2">
      <c r="L561" s="46"/>
    </row>
    <row r="562" spans="12:12" x14ac:dyDescent="0.2">
      <c r="L562" s="46"/>
    </row>
    <row r="563" spans="12:12" x14ac:dyDescent="0.2">
      <c r="L563" s="46"/>
    </row>
    <row r="564" spans="12:12" x14ac:dyDescent="0.2">
      <c r="L564" s="46"/>
    </row>
    <row r="565" spans="12:12" x14ac:dyDescent="0.2">
      <c r="L565" s="46"/>
    </row>
    <row r="566" spans="12:12" x14ac:dyDescent="0.2">
      <c r="L566" s="46"/>
    </row>
    <row r="567" spans="12:12" x14ac:dyDescent="0.2">
      <c r="L567" s="46"/>
    </row>
    <row r="568" spans="12:12" x14ac:dyDescent="0.2">
      <c r="L568" s="46"/>
    </row>
    <row r="569" spans="12:12" x14ac:dyDescent="0.2">
      <c r="L569" s="46"/>
    </row>
    <row r="570" spans="12:12" x14ac:dyDescent="0.2">
      <c r="L570" s="46"/>
    </row>
    <row r="571" spans="12:12" x14ac:dyDescent="0.2">
      <c r="L571" s="46"/>
    </row>
    <row r="572" spans="12:12" x14ac:dyDescent="0.2">
      <c r="L572" s="46"/>
    </row>
    <row r="573" spans="12:12" x14ac:dyDescent="0.2">
      <c r="L573" s="46"/>
    </row>
    <row r="574" spans="12:12" x14ac:dyDescent="0.2">
      <c r="L574" s="46"/>
    </row>
    <row r="575" spans="12:12" x14ac:dyDescent="0.2">
      <c r="L575" s="46"/>
    </row>
    <row r="576" spans="12:12" x14ac:dyDescent="0.2">
      <c r="L576" s="46"/>
    </row>
    <row r="577" spans="12:12" x14ac:dyDescent="0.2">
      <c r="L577" s="46"/>
    </row>
    <row r="578" spans="12:12" x14ac:dyDescent="0.2">
      <c r="L578" s="46"/>
    </row>
    <row r="579" spans="12:12" x14ac:dyDescent="0.2">
      <c r="L579" s="46"/>
    </row>
    <row r="580" spans="12:12" x14ac:dyDescent="0.2">
      <c r="L580" s="46"/>
    </row>
    <row r="581" spans="12:12" x14ac:dyDescent="0.2">
      <c r="L581" s="46"/>
    </row>
    <row r="582" spans="12:12" x14ac:dyDescent="0.2">
      <c r="L582" s="46"/>
    </row>
    <row r="583" spans="12:12" x14ac:dyDescent="0.2">
      <c r="L583" s="46"/>
    </row>
    <row r="584" spans="12:12" x14ac:dyDescent="0.2">
      <c r="L584" s="46"/>
    </row>
    <row r="585" spans="12:12" x14ac:dyDescent="0.2">
      <c r="L585" s="46"/>
    </row>
    <row r="586" spans="12:12" x14ac:dyDescent="0.2">
      <c r="L586" s="46"/>
    </row>
    <row r="587" spans="12:12" x14ac:dyDescent="0.2">
      <c r="L587" s="46"/>
    </row>
    <row r="588" spans="12:12" x14ac:dyDescent="0.2">
      <c r="L588" s="46"/>
    </row>
    <row r="589" spans="12:12" x14ac:dyDescent="0.2">
      <c r="L589" s="46"/>
    </row>
    <row r="590" spans="12:12" x14ac:dyDescent="0.2">
      <c r="L590" s="46"/>
    </row>
    <row r="591" spans="12:12" x14ac:dyDescent="0.2">
      <c r="L591" s="46"/>
    </row>
    <row r="592" spans="12:12" x14ac:dyDescent="0.2">
      <c r="L592" s="46"/>
    </row>
    <row r="593" spans="12:12" x14ac:dyDescent="0.2">
      <c r="L593" s="46"/>
    </row>
    <row r="594" spans="12:12" x14ac:dyDescent="0.2">
      <c r="L594" s="46"/>
    </row>
    <row r="595" spans="12:12" x14ac:dyDescent="0.2">
      <c r="L595" s="46"/>
    </row>
    <row r="596" spans="12:12" x14ac:dyDescent="0.2">
      <c r="L596" s="46"/>
    </row>
    <row r="597" spans="12:12" x14ac:dyDescent="0.2">
      <c r="L597" s="46"/>
    </row>
    <row r="598" spans="12:12" x14ac:dyDescent="0.2">
      <c r="L598" s="46"/>
    </row>
    <row r="599" spans="12:12" x14ac:dyDescent="0.2">
      <c r="L599" s="46"/>
    </row>
    <row r="600" spans="12:12" x14ac:dyDescent="0.2">
      <c r="L600" s="46"/>
    </row>
    <row r="601" spans="12:12" x14ac:dyDescent="0.2">
      <c r="L601" s="46"/>
    </row>
    <row r="602" spans="12:12" x14ac:dyDescent="0.2">
      <c r="L602" s="46"/>
    </row>
    <row r="603" spans="12:12" x14ac:dyDescent="0.2">
      <c r="L603" s="46"/>
    </row>
    <row r="604" spans="12:12" x14ac:dyDescent="0.2">
      <c r="L604" s="46"/>
    </row>
    <row r="605" spans="12:12" x14ac:dyDescent="0.2">
      <c r="L605" s="46"/>
    </row>
    <row r="606" spans="12:12" x14ac:dyDescent="0.2">
      <c r="L606" s="46"/>
    </row>
    <row r="607" spans="12:12" x14ac:dyDescent="0.2">
      <c r="L607" s="46"/>
    </row>
    <row r="608" spans="12:12" x14ac:dyDescent="0.2">
      <c r="L608" s="46"/>
    </row>
    <row r="609" spans="12:12" x14ac:dyDescent="0.2">
      <c r="L609" s="46"/>
    </row>
    <row r="610" spans="12:12" x14ac:dyDescent="0.2">
      <c r="L610" s="46"/>
    </row>
    <row r="611" spans="12:12" x14ac:dyDescent="0.2">
      <c r="L611" s="46"/>
    </row>
    <row r="612" spans="12:12" x14ac:dyDescent="0.2">
      <c r="L612" s="46"/>
    </row>
    <row r="613" spans="12:12" x14ac:dyDescent="0.2">
      <c r="L613" s="46"/>
    </row>
    <row r="614" spans="12:12" x14ac:dyDescent="0.2">
      <c r="L614" s="46"/>
    </row>
    <row r="615" spans="12:12" x14ac:dyDescent="0.2">
      <c r="L615" s="46"/>
    </row>
    <row r="616" spans="12:12" x14ac:dyDescent="0.2">
      <c r="L616" s="46"/>
    </row>
    <row r="617" spans="12:12" x14ac:dyDescent="0.2">
      <c r="L617" s="46"/>
    </row>
    <row r="618" spans="12:12" x14ac:dyDescent="0.2">
      <c r="L618" s="46"/>
    </row>
    <row r="619" spans="12:12" x14ac:dyDescent="0.2">
      <c r="L619" s="46"/>
    </row>
    <row r="620" spans="12:12" x14ac:dyDescent="0.2">
      <c r="L620" s="46"/>
    </row>
    <row r="621" spans="12:12" x14ac:dyDescent="0.2">
      <c r="L621" s="46"/>
    </row>
    <row r="622" spans="12:12" x14ac:dyDescent="0.2">
      <c r="L622" s="46"/>
    </row>
    <row r="623" spans="12:12" x14ac:dyDescent="0.2">
      <c r="L623" s="46"/>
    </row>
    <row r="624" spans="12:12" x14ac:dyDescent="0.2">
      <c r="L624" s="46"/>
    </row>
    <row r="625" spans="12:12" x14ac:dyDescent="0.2">
      <c r="L625" s="46"/>
    </row>
    <row r="626" spans="12:12" x14ac:dyDescent="0.2">
      <c r="L626" s="46"/>
    </row>
    <row r="627" spans="12:12" x14ac:dyDescent="0.2">
      <c r="L627" s="46"/>
    </row>
    <row r="628" spans="12:12" x14ac:dyDescent="0.2">
      <c r="L628" s="46"/>
    </row>
    <row r="629" spans="12:12" x14ac:dyDescent="0.2">
      <c r="L629" s="46"/>
    </row>
    <row r="630" spans="12:12" x14ac:dyDescent="0.2">
      <c r="L630" s="46"/>
    </row>
    <row r="631" spans="12:12" x14ac:dyDescent="0.2">
      <c r="L631" s="46"/>
    </row>
    <row r="632" spans="12:12" x14ac:dyDescent="0.2">
      <c r="L632" s="46"/>
    </row>
    <row r="633" spans="12:12" x14ac:dyDescent="0.2">
      <c r="L633" s="46"/>
    </row>
    <row r="634" spans="12:12" x14ac:dyDescent="0.2">
      <c r="L634" s="46"/>
    </row>
    <row r="635" spans="12:12" x14ac:dyDescent="0.2">
      <c r="L635" s="46"/>
    </row>
    <row r="636" spans="12:12" x14ac:dyDescent="0.2">
      <c r="L636" s="46"/>
    </row>
    <row r="637" spans="12:12" x14ac:dyDescent="0.2">
      <c r="L637" s="46"/>
    </row>
    <row r="638" spans="12:12" x14ac:dyDescent="0.2">
      <c r="L638" s="46"/>
    </row>
    <row r="639" spans="12:12" x14ac:dyDescent="0.2">
      <c r="L639" s="46"/>
    </row>
    <row r="640" spans="12:12" x14ac:dyDescent="0.2">
      <c r="L640" s="46"/>
    </row>
    <row r="641" spans="12:12" x14ac:dyDescent="0.2">
      <c r="L641" s="46"/>
    </row>
    <row r="642" spans="12:12" x14ac:dyDescent="0.2">
      <c r="L642" s="46"/>
    </row>
    <row r="643" spans="12:12" x14ac:dyDescent="0.2">
      <c r="L643" s="46"/>
    </row>
    <row r="644" spans="12:12" x14ac:dyDescent="0.2">
      <c r="L644" s="46"/>
    </row>
    <row r="645" spans="12:12" x14ac:dyDescent="0.2">
      <c r="L645" s="46"/>
    </row>
    <row r="646" spans="12:12" x14ac:dyDescent="0.2">
      <c r="L646" s="46"/>
    </row>
    <row r="647" spans="12:12" x14ac:dyDescent="0.2">
      <c r="L647" s="46"/>
    </row>
    <row r="648" spans="12:12" x14ac:dyDescent="0.2">
      <c r="L648" s="46"/>
    </row>
    <row r="649" spans="12:12" x14ac:dyDescent="0.2">
      <c r="L649" s="46"/>
    </row>
    <row r="650" spans="12:12" x14ac:dyDescent="0.2">
      <c r="L650" s="46"/>
    </row>
    <row r="651" spans="12:12" x14ac:dyDescent="0.2">
      <c r="L651" s="46"/>
    </row>
    <row r="652" spans="12:12" x14ac:dyDescent="0.2">
      <c r="L652" s="46"/>
    </row>
    <row r="653" spans="12:12" x14ac:dyDescent="0.2">
      <c r="L653" s="46"/>
    </row>
    <row r="654" spans="12:12" x14ac:dyDescent="0.2">
      <c r="L654" s="46"/>
    </row>
    <row r="655" spans="12:12" x14ac:dyDescent="0.2">
      <c r="L655" s="46"/>
    </row>
    <row r="656" spans="12:12" x14ac:dyDescent="0.2">
      <c r="L656" s="46"/>
    </row>
    <row r="657" spans="12:12" x14ac:dyDescent="0.2">
      <c r="L657" s="46"/>
    </row>
    <row r="658" spans="12:12" x14ac:dyDescent="0.2">
      <c r="L658" s="46"/>
    </row>
    <row r="659" spans="12:12" x14ac:dyDescent="0.2">
      <c r="L659" s="46"/>
    </row>
    <row r="660" spans="12:12" x14ac:dyDescent="0.2">
      <c r="L660" s="46"/>
    </row>
    <row r="661" spans="12:12" x14ac:dyDescent="0.2">
      <c r="L661" s="46"/>
    </row>
    <row r="662" spans="12:12" x14ac:dyDescent="0.2">
      <c r="L662" s="46"/>
    </row>
    <row r="663" spans="12:12" x14ac:dyDescent="0.2">
      <c r="L663" s="46"/>
    </row>
    <row r="664" spans="12:12" x14ac:dyDescent="0.2">
      <c r="L664" s="46"/>
    </row>
    <row r="665" spans="12:12" x14ac:dyDescent="0.2">
      <c r="L665" s="46"/>
    </row>
    <row r="666" spans="12:12" x14ac:dyDescent="0.2">
      <c r="L666" s="46"/>
    </row>
    <row r="667" spans="12:12" x14ac:dyDescent="0.2">
      <c r="L667" s="46"/>
    </row>
    <row r="668" spans="12:12" x14ac:dyDescent="0.2">
      <c r="L668" s="46"/>
    </row>
    <row r="669" spans="12:12" x14ac:dyDescent="0.2">
      <c r="L669" s="46"/>
    </row>
    <row r="670" spans="12:12" x14ac:dyDescent="0.2">
      <c r="L670" s="46"/>
    </row>
    <row r="671" spans="12:12" x14ac:dyDescent="0.2">
      <c r="L671" s="46"/>
    </row>
    <row r="672" spans="12:12" x14ac:dyDescent="0.2">
      <c r="L672" s="46"/>
    </row>
    <row r="673" spans="12:12" x14ac:dyDescent="0.2">
      <c r="L673" s="46"/>
    </row>
    <row r="674" spans="12:12" x14ac:dyDescent="0.2">
      <c r="L674" s="46"/>
    </row>
    <row r="675" spans="12:12" x14ac:dyDescent="0.2">
      <c r="L675" s="46"/>
    </row>
    <row r="676" spans="12:12" x14ac:dyDescent="0.2">
      <c r="L676" s="46"/>
    </row>
    <row r="677" spans="12:12" x14ac:dyDescent="0.2">
      <c r="L677" s="46"/>
    </row>
    <row r="678" spans="12:12" x14ac:dyDescent="0.2">
      <c r="L678" s="46"/>
    </row>
    <row r="679" spans="12:12" x14ac:dyDescent="0.2">
      <c r="L679" s="46"/>
    </row>
    <row r="680" spans="12:12" x14ac:dyDescent="0.2">
      <c r="L680" s="46"/>
    </row>
    <row r="681" spans="12:12" x14ac:dyDescent="0.2">
      <c r="L681" s="46"/>
    </row>
    <row r="682" spans="12:12" x14ac:dyDescent="0.2">
      <c r="L682" s="46"/>
    </row>
    <row r="683" spans="12:12" x14ac:dyDescent="0.2">
      <c r="L683" s="46"/>
    </row>
    <row r="684" spans="12:12" x14ac:dyDescent="0.2">
      <c r="L684" s="46"/>
    </row>
    <row r="685" spans="12:12" x14ac:dyDescent="0.2">
      <c r="L685" s="46"/>
    </row>
    <row r="686" spans="12:12" x14ac:dyDescent="0.2">
      <c r="L686" s="46"/>
    </row>
    <row r="687" spans="12:12" x14ac:dyDescent="0.2">
      <c r="L687" s="46"/>
    </row>
    <row r="688" spans="12:12" x14ac:dyDescent="0.2">
      <c r="L688" s="46"/>
    </row>
    <row r="689" spans="12:12" x14ac:dyDescent="0.2">
      <c r="L689" s="46"/>
    </row>
    <row r="690" spans="12:12" x14ac:dyDescent="0.2">
      <c r="L690" s="46"/>
    </row>
    <row r="691" spans="12:12" x14ac:dyDescent="0.2">
      <c r="L691" s="46"/>
    </row>
    <row r="692" spans="12:12" x14ac:dyDescent="0.2">
      <c r="L692" s="46"/>
    </row>
    <row r="693" spans="12:12" x14ac:dyDescent="0.2">
      <c r="L693" s="46"/>
    </row>
    <row r="694" spans="12:12" x14ac:dyDescent="0.2">
      <c r="L694" s="46"/>
    </row>
    <row r="695" spans="12:12" x14ac:dyDescent="0.2">
      <c r="L695" s="46"/>
    </row>
    <row r="696" spans="12:12" x14ac:dyDescent="0.2">
      <c r="L696" s="46"/>
    </row>
    <row r="697" spans="12:12" x14ac:dyDescent="0.2">
      <c r="L697" s="46"/>
    </row>
    <row r="698" spans="12:12" x14ac:dyDescent="0.2">
      <c r="L698" s="46"/>
    </row>
    <row r="699" spans="12:12" x14ac:dyDescent="0.2">
      <c r="L699" s="46"/>
    </row>
    <row r="700" spans="12:12" x14ac:dyDescent="0.2">
      <c r="L700" s="46"/>
    </row>
    <row r="701" spans="12:12" x14ac:dyDescent="0.2">
      <c r="L701" s="46"/>
    </row>
    <row r="702" spans="12:12" x14ac:dyDescent="0.2">
      <c r="L702" s="46"/>
    </row>
    <row r="703" spans="12:12" x14ac:dyDescent="0.2">
      <c r="L703" s="46"/>
    </row>
    <row r="704" spans="12:12" x14ac:dyDescent="0.2">
      <c r="L704" s="46"/>
    </row>
    <row r="705" spans="12:12" x14ac:dyDescent="0.2">
      <c r="L705" s="46"/>
    </row>
    <row r="706" spans="12:12" x14ac:dyDescent="0.2">
      <c r="L706" s="46"/>
    </row>
    <row r="707" spans="12:12" x14ac:dyDescent="0.2">
      <c r="L707" s="46"/>
    </row>
    <row r="708" spans="12:12" x14ac:dyDescent="0.2">
      <c r="L708" s="46"/>
    </row>
    <row r="709" spans="12:12" x14ac:dyDescent="0.2">
      <c r="L709" s="46"/>
    </row>
    <row r="710" spans="12:12" x14ac:dyDescent="0.2">
      <c r="L710" s="46"/>
    </row>
    <row r="711" spans="12:12" x14ac:dyDescent="0.2">
      <c r="L711" s="46"/>
    </row>
    <row r="712" spans="12:12" x14ac:dyDescent="0.2">
      <c r="L712" s="46"/>
    </row>
    <row r="713" spans="12:12" x14ac:dyDescent="0.2">
      <c r="L713" s="46"/>
    </row>
    <row r="714" spans="12:12" x14ac:dyDescent="0.2">
      <c r="L714" s="46"/>
    </row>
    <row r="715" spans="12:12" x14ac:dyDescent="0.2">
      <c r="L715" s="46"/>
    </row>
    <row r="716" spans="12:12" x14ac:dyDescent="0.2">
      <c r="L716" s="46"/>
    </row>
    <row r="717" spans="12:12" x14ac:dyDescent="0.2">
      <c r="L717" s="46"/>
    </row>
    <row r="718" spans="12:12" x14ac:dyDescent="0.2">
      <c r="L718" s="46"/>
    </row>
    <row r="719" spans="12:12" x14ac:dyDescent="0.2">
      <c r="L719" s="46"/>
    </row>
    <row r="720" spans="12:12" x14ac:dyDescent="0.2">
      <c r="L720" s="46"/>
    </row>
    <row r="721" spans="12:12" x14ac:dyDescent="0.2">
      <c r="L721" s="46"/>
    </row>
    <row r="722" spans="12:12" x14ac:dyDescent="0.2">
      <c r="L722" s="46"/>
    </row>
    <row r="723" spans="12:12" x14ac:dyDescent="0.2">
      <c r="L723" s="46"/>
    </row>
    <row r="724" spans="12:12" x14ac:dyDescent="0.2">
      <c r="L724" s="46"/>
    </row>
    <row r="725" spans="12:12" x14ac:dyDescent="0.2">
      <c r="L725" s="46"/>
    </row>
    <row r="726" spans="12:12" x14ac:dyDescent="0.2">
      <c r="L726" s="46"/>
    </row>
    <row r="727" spans="12:12" x14ac:dyDescent="0.2">
      <c r="L727" s="46"/>
    </row>
    <row r="728" spans="12:12" x14ac:dyDescent="0.2">
      <c r="L728" s="46"/>
    </row>
    <row r="729" spans="12:12" x14ac:dyDescent="0.2">
      <c r="L729" s="46"/>
    </row>
    <row r="730" spans="12:12" x14ac:dyDescent="0.2">
      <c r="L730" s="46"/>
    </row>
    <row r="731" spans="12:12" x14ac:dyDescent="0.2">
      <c r="L731" s="46"/>
    </row>
    <row r="732" spans="12:12" x14ac:dyDescent="0.2">
      <c r="L732" s="46"/>
    </row>
    <row r="733" spans="12:12" x14ac:dyDescent="0.2">
      <c r="L733" s="46"/>
    </row>
    <row r="734" spans="12:12" x14ac:dyDescent="0.2">
      <c r="L734" s="46"/>
    </row>
    <row r="735" spans="12:12" x14ac:dyDescent="0.2">
      <c r="L735" s="46"/>
    </row>
    <row r="736" spans="12:12" x14ac:dyDescent="0.2">
      <c r="L736" s="46"/>
    </row>
    <row r="737" spans="12:12" x14ac:dyDescent="0.2">
      <c r="L737" s="46"/>
    </row>
    <row r="738" spans="12:12" x14ac:dyDescent="0.2">
      <c r="L738" s="46"/>
    </row>
    <row r="739" spans="12:12" x14ac:dyDescent="0.2">
      <c r="L739" s="46"/>
    </row>
    <row r="740" spans="12:12" x14ac:dyDescent="0.2">
      <c r="L740" s="46"/>
    </row>
    <row r="741" spans="12:12" x14ac:dyDescent="0.2">
      <c r="L741" s="46"/>
    </row>
    <row r="742" spans="12:12" x14ac:dyDescent="0.2">
      <c r="L742" s="46"/>
    </row>
    <row r="743" spans="12:12" x14ac:dyDescent="0.2">
      <c r="L743" s="46"/>
    </row>
    <row r="744" spans="12:12" x14ac:dyDescent="0.2">
      <c r="L744" s="46"/>
    </row>
    <row r="745" spans="12:12" x14ac:dyDescent="0.2">
      <c r="L745" s="46"/>
    </row>
    <row r="746" spans="12:12" x14ac:dyDescent="0.2">
      <c r="L746" s="46"/>
    </row>
    <row r="747" spans="12:12" x14ac:dyDescent="0.2">
      <c r="L747" s="46"/>
    </row>
    <row r="748" spans="12:12" x14ac:dyDescent="0.2">
      <c r="L748" s="46"/>
    </row>
    <row r="749" spans="12:12" x14ac:dyDescent="0.2">
      <c r="L749" s="46"/>
    </row>
    <row r="750" spans="12:12" x14ac:dyDescent="0.2">
      <c r="L750" s="46"/>
    </row>
    <row r="751" spans="12:12" x14ac:dyDescent="0.2">
      <c r="L751" s="46"/>
    </row>
    <row r="752" spans="12:12" x14ac:dyDescent="0.2">
      <c r="L752" s="46"/>
    </row>
    <row r="753" spans="12:12" x14ac:dyDescent="0.2">
      <c r="L753" s="46"/>
    </row>
    <row r="754" spans="12:12" x14ac:dyDescent="0.2">
      <c r="L754" s="46"/>
    </row>
    <row r="755" spans="12:12" x14ac:dyDescent="0.2">
      <c r="L755" s="46"/>
    </row>
    <row r="756" spans="12:12" x14ac:dyDescent="0.2">
      <c r="L756" s="46"/>
    </row>
    <row r="757" spans="12:12" x14ac:dyDescent="0.2">
      <c r="L757" s="46"/>
    </row>
    <row r="758" spans="12:12" x14ac:dyDescent="0.2">
      <c r="L758" s="46"/>
    </row>
    <row r="759" spans="12:12" x14ac:dyDescent="0.2">
      <c r="L759" s="46"/>
    </row>
    <row r="760" spans="12:12" x14ac:dyDescent="0.2">
      <c r="L760" s="46"/>
    </row>
    <row r="761" spans="12:12" x14ac:dyDescent="0.2">
      <c r="L761" s="46"/>
    </row>
    <row r="762" spans="12:12" x14ac:dyDescent="0.2">
      <c r="L762" s="46"/>
    </row>
    <row r="763" spans="12:12" x14ac:dyDescent="0.2">
      <c r="L763" s="46"/>
    </row>
    <row r="764" spans="12:12" x14ac:dyDescent="0.2">
      <c r="L764" s="46"/>
    </row>
    <row r="765" spans="12:12" x14ac:dyDescent="0.2">
      <c r="L765" s="46"/>
    </row>
    <row r="766" spans="12:12" x14ac:dyDescent="0.2">
      <c r="L766" s="46"/>
    </row>
    <row r="767" spans="12:12" x14ac:dyDescent="0.2">
      <c r="L767" s="46"/>
    </row>
    <row r="768" spans="12:12" x14ac:dyDescent="0.2">
      <c r="L768" s="46"/>
    </row>
    <row r="769" spans="12:12" x14ac:dyDescent="0.2">
      <c r="L769" s="46"/>
    </row>
    <row r="770" spans="12:12" x14ac:dyDescent="0.2">
      <c r="L770" s="46"/>
    </row>
    <row r="771" spans="12:12" x14ac:dyDescent="0.2">
      <c r="L771" s="46"/>
    </row>
    <row r="772" spans="12:12" x14ac:dyDescent="0.2">
      <c r="L772" s="46"/>
    </row>
    <row r="773" spans="12:12" x14ac:dyDescent="0.2">
      <c r="L773" s="46"/>
    </row>
    <row r="774" spans="12:12" x14ac:dyDescent="0.2">
      <c r="L774" s="46"/>
    </row>
    <row r="775" spans="12:12" x14ac:dyDescent="0.2">
      <c r="L775" s="46"/>
    </row>
    <row r="776" spans="12:12" x14ac:dyDescent="0.2">
      <c r="L776" s="46"/>
    </row>
    <row r="777" spans="12:12" x14ac:dyDescent="0.2">
      <c r="L777" s="46"/>
    </row>
    <row r="778" spans="12:12" x14ac:dyDescent="0.2">
      <c r="L778" s="46"/>
    </row>
    <row r="779" spans="12:12" x14ac:dyDescent="0.2">
      <c r="L779" s="46"/>
    </row>
    <row r="780" spans="12:12" x14ac:dyDescent="0.2">
      <c r="L780" s="46"/>
    </row>
    <row r="781" spans="12:12" x14ac:dyDescent="0.2">
      <c r="L781" s="46"/>
    </row>
    <row r="782" spans="12:12" x14ac:dyDescent="0.2">
      <c r="L782" s="46"/>
    </row>
    <row r="783" spans="12:12" x14ac:dyDescent="0.2">
      <c r="L783" s="46"/>
    </row>
    <row r="784" spans="12:12" x14ac:dyDescent="0.2">
      <c r="L784" s="46"/>
    </row>
    <row r="785" spans="12:12" x14ac:dyDescent="0.2">
      <c r="L785" s="46"/>
    </row>
    <row r="786" spans="12:12" x14ac:dyDescent="0.2">
      <c r="L786" s="46"/>
    </row>
    <row r="787" spans="12:12" x14ac:dyDescent="0.2">
      <c r="L787" s="46"/>
    </row>
    <row r="788" spans="12:12" x14ac:dyDescent="0.2">
      <c r="L788" s="46"/>
    </row>
    <row r="789" spans="12:12" x14ac:dyDescent="0.2">
      <c r="L789" s="46"/>
    </row>
    <row r="790" spans="12:12" x14ac:dyDescent="0.2">
      <c r="L790" s="46"/>
    </row>
    <row r="791" spans="12:12" x14ac:dyDescent="0.2">
      <c r="L791" s="46"/>
    </row>
    <row r="792" spans="12:12" x14ac:dyDescent="0.2">
      <c r="L792" s="46"/>
    </row>
    <row r="793" spans="12:12" x14ac:dyDescent="0.2">
      <c r="L793" s="46"/>
    </row>
    <row r="794" spans="12:12" x14ac:dyDescent="0.2">
      <c r="L794" s="46"/>
    </row>
    <row r="795" spans="12:12" x14ac:dyDescent="0.2">
      <c r="L795" s="46"/>
    </row>
    <row r="796" spans="12:12" x14ac:dyDescent="0.2">
      <c r="L796" s="46"/>
    </row>
    <row r="797" spans="12:12" x14ac:dyDescent="0.2">
      <c r="L797" s="46"/>
    </row>
    <row r="798" spans="12:12" x14ac:dyDescent="0.2">
      <c r="L798" s="46"/>
    </row>
    <row r="799" spans="12:12" x14ac:dyDescent="0.2">
      <c r="L799" s="46"/>
    </row>
    <row r="800" spans="12:12" x14ac:dyDescent="0.2">
      <c r="L800" s="46"/>
    </row>
    <row r="801" spans="12:12" x14ac:dyDescent="0.2">
      <c r="L801" s="46"/>
    </row>
    <row r="802" spans="12:12" x14ac:dyDescent="0.2">
      <c r="L802" s="46"/>
    </row>
    <row r="803" spans="12:12" x14ac:dyDescent="0.2">
      <c r="L803" s="46"/>
    </row>
    <row r="804" spans="12:12" x14ac:dyDescent="0.2">
      <c r="L804" s="46"/>
    </row>
    <row r="805" spans="12:12" x14ac:dyDescent="0.2">
      <c r="L805" s="46"/>
    </row>
    <row r="806" spans="12:12" x14ac:dyDescent="0.2">
      <c r="L806" s="46"/>
    </row>
    <row r="807" spans="12:12" x14ac:dyDescent="0.2">
      <c r="L807" s="46"/>
    </row>
    <row r="808" spans="12:12" x14ac:dyDescent="0.2">
      <c r="L808" s="46"/>
    </row>
    <row r="809" spans="12:12" x14ac:dyDescent="0.2">
      <c r="L809" s="46"/>
    </row>
    <row r="810" spans="12:12" x14ac:dyDescent="0.2">
      <c r="L810" s="46"/>
    </row>
    <row r="811" spans="12:12" x14ac:dyDescent="0.2">
      <c r="L811" s="46"/>
    </row>
    <row r="812" spans="12:12" x14ac:dyDescent="0.2">
      <c r="L812" s="46"/>
    </row>
    <row r="813" spans="12:12" x14ac:dyDescent="0.2">
      <c r="L813" s="46"/>
    </row>
    <row r="814" spans="12:12" x14ac:dyDescent="0.2">
      <c r="L814" s="46"/>
    </row>
    <row r="815" spans="12:12" x14ac:dyDescent="0.2">
      <c r="L815" s="46"/>
    </row>
    <row r="816" spans="12:12" x14ac:dyDescent="0.2">
      <c r="L816" s="46"/>
    </row>
    <row r="817" spans="12:12" x14ac:dyDescent="0.2">
      <c r="L817" s="46"/>
    </row>
    <row r="818" spans="12:12" x14ac:dyDescent="0.2">
      <c r="L818" s="46"/>
    </row>
    <row r="819" spans="12:12" x14ac:dyDescent="0.2">
      <c r="L819" s="46"/>
    </row>
    <row r="820" spans="12:12" x14ac:dyDescent="0.2">
      <c r="L820" s="46"/>
    </row>
    <row r="821" spans="12:12" x14ac:dyDescent="0.2">
      <c r="L821" s="46"/>
    </row>
    <row r="822" spans="12:12" x14ac:dyDescent="0.2">
      <c r="L822" s="46"/>
    </row>
    <row r="823" spans="12:12" x14ac:dyDescent="0.2">
      <c r="L823" s="46"/>
    </row>
    <row r="824" spans="12:12" x14ac:dyDescent="0.2">
      <c r="L824" s="46"/>
    </row>
    <row r="825" spans="12:12" x14ac:dyDescent="0.2">
      <c r="L825" s="46"/>
    </row>
    <row r="826" spans="12:12" x14ac:dyDescent="0.2">
      <c r="L826" s="46"/>
    </row>
    <row r="827" spans="12:12" x14ac:dyDescent="0.2">
      <c r="L827" s="46"/>
    </row>
    <row r="828" spans="12:12" x14ac:dyDescent="0.2">
      <c r="L828" s="46"/>
    </row>
    <row r="829" spans="12:12" x14ac:dyDescent="0.2">
      <c r="L829" s="46"/>
    </row>
    <row r="830" spans="12:12" x14ac:dyDescent="0.2">
      <c r="L830" s="46"/>
    </row>
    <row r="831" spans="12:12" x14ac:dyDescent="0.2">
      <c r="L831" s="46"/>
    </row>
    <row r="832" spans="12:12" x14ac:dyDescent="0.2">
      <c r="L832" s="46"/>
    </row>
    <row r="833" spans="12:12" x14ac:dyDescent="0.2">
      <c r="L833" s="46"/>
    </row>
    <row r="834" spans="12:12" x14ac:dyDescent="0.2">
      <c r="L834" s="46"/>
    </row>
    <row r="835" spans="12:12" x14ac:dyDescent="0.2">
      <c r="L835" s="46"/>
    </row>
    <row r="836" spans="12:12" x14ac:dyDescent="0.2">
      <c r="L836" s="46"/>
    </row>
    <row r="837" spans="12:12" x14ac:dyDescent="0.2">
      <c r="L837" s="46"/>
    </row>
    <row r="838" spans="12:12" x14ac:dyDescent="0.2">
      <c r="L838" s="46"/>
    </row>
    <row r="839" spans="12:12" x14ac:dyDescent="0.2">
      <c r="L839" s="46"/>
    </row>
    <row r="840" spans="12:12" x14ac:dyDescent="0.2">
      <c r="L840" s="46"/>
    </row>
    <row r="841" spans="12:12" x14ac:dyDescent="0.2">
      <c r="L841" s="46"/>
    </row>
    <row r="842" spans="12:12" x14ac:dyDescent="0.2">
      <c r="L842" s="46"/>
    </row>
    <row r="843" spans="12:12" x14ac:dyDescent="0.2">
      <c r="L843" s="46"/>
    </row>
    <row r="844" spans="12:12" x14ac:dyDescent="0.2">
      <c r="L844" s="46"/>
    </row>
    <row r="845" spans="12:12" x14ac:dyDescent="0.2">
      <c r="L845" s="46"/>
    </row>
    <row r="846" spans="12:12" x14ac:dyDescent="0.2">
      <c r="L846" s="46"/>
    </row>
    <row r="847" spans="12:12" x14ac:dyDescent="0.2">
      <c r="L847" s="46"/>
    </row>
    <row r="848" spans="12:12" x14ac:dyDescent="0.2">
      <c r="L848" s="46"/>
    </row>
    <row r="849" spans="12:12" x14ac:dyDescent="0.2">
      <c r="L849" s="46"/>
    </row>
    <row r="850" spans="12:12" x14ac:dyDescent="0.2">
      <c r="L850" s="46"/>
    </row>
    <row r="851" spans="12:12" x14ac:dyDescent="0.2">
      <c r="L851" s="46"/>
    </row>
    <row r="852" spans="12:12" x14ac:dyDescent="0.2">
      <c r="L852" s="46"/>
    </row>
    <row r="853" spans="12:12" x14ac:dyDescent="0.2">
      <c r="L853" s="46"/>
    </row>
    <row r="854" spans="12:12" x14ac:dyDescent="0.2">
      <c r="L854" s="46"/>
    </row>
    <row r="855" spans="12:12" x14ac:dyDescent="0.2">
      <c r="L855" s="46"/>
    </row>
    <row r="856" spans="12:12" x14ac:dyDescent="0.2">
      <c r="L856" s="46"/>
    </row>
    <row r="857" spans="12:12" x14ac:dyDescent="0.2">
      <c r="L857" s="46"/>
    </row>
    <row r="858" spans="12:12" x14ac:dyDescent="0.2">
      <c r="L858" s="46"/>
    </row>
    <row r="859" spans="12:12" x14ac:dyDescent="0.2">
      <c r="L859" s="46"/>
    </row>
    <row r="860" spans="12:12" x14ac:dyDescent="0.2">
      <c r="L860" s="46"/>
    </row>
    <row r="861" spans="12:12" x14ac:dyDescent="0.2">
      <c r="L861" s="46"/>
    </row>
    <row r="862" spans="12:12" x14ac:dyDescent="0.2">
      <c r="L862" s="46"/>
    </row>
    <row r="863" spans="12:12" x14ac:dyDescent="0.2">
      <c r="L863" s="46"/>
    </row>
    <row r="864" spans="12:12" x14ac:dyDescent="0.2">
      <c r="L864" s="46"/>
    </row>
    <row r="865" spans="12:12" x14ac:dyDescent="0.2">
      <c r="L865" s="46"/>
    </row>
    <row r="866" spans="12:12" x14ac:dyDescent="0.2">
      <c r="L866" s="46"/>
    </row>
    <row r="867" spans="12:12" x14ac:dyDescent="0.2">
      <c r="L867" s="46"/>
    </row>
    <row r="868" spans="12:12" x14ac:dyDescent="0.2">
      <c r="L868" s="46"/>
    </row>
    <row r="869" spans="12:12" x14ac:dyDescent="0.2">
      <c r="L869" s="46"/>
    </row>
    <row r="870" spans="12:12" x14ac:dyDescent="0.2">
      <c r="L870" s="46"/>
    </row>
    <row r="871" spans="12:12" x14ac:dyDescent="0.2">
      <c r="L871" s="46"/>
    </row>
    <row r="872" spans="12:12" x14ac:dyDescent="0.2">
      <c r="L872" s="46"/>
    </row>
    <row r="873" spans="12:12" x14ac:dyDescent="0.2">
      <c r="L873" s="46"/>
    </row>
    <row r="874" spans="12:12" x14ac:dyDescent="0.2">
      <c r="L874" s="46"/>
    </row>
    <row r="875" spans="12:12" x14ac:dyDescent="0.2">
      <c r="L875" s="46"/>
    </row>
    <row r="876" spans="12:12" x14ac:dyDescent="0.2">
      <c r="L876" s="46"/>
    </row>
    <row r="877" spans="12:12" x14ac:dyDescent="0.2">
      <c r="L877" s="46"/>
    </row>
    <row r="878" spans="12:12" x14ac:dyDescent="0.2">
      <c r="L878" s="46"/>
    </row>
    <row r="879" spans="12:12" x14ac:dyDescent="0.2">
      <c r="L879" s="46"/>
    </row>
    <row r="880" spans="12:12" x14ac:dyDescent="0.2">
      <c r="L880" s="46"/>
    </row>
    <row r="881" spans="12:12" x14ac:dyDescent="0.2">
      <c r="L881" s="46"/>
    </row>
    <row r="882" spans="12:12" x14ac:dyDescent="0.2">
      <c r="L882" s="46"/>
    </row>
    <row r="883" spans="12:12" x14ac:dyDescent="0.2">
      <c r="L883" s="46"/>
    </row>
    <row r="884" spans="12:12" x14ac:dyDescent="0.2">
      <c r="L884" s="46"/>
    </row>
    <row r="885" spans="12:12" x14ac:dyDescent="0.2">
      <c r="L885" s="46"/>
    </row>
    <row r="886" spans="12:12" x14ac:dyDescent="0.2">
      <c r="L886" s="46"/>
    </row>
    <row r="887" spans="12:12" x14ac:dyDescent="0.2">
      <c r="L887" s="46"/>
    </row>
    <row r="888" spans="12:12" x14ac:dyDescent="0.2">
      <c r="L888" s="46"/>
    </row>
    <row r="889" spans="12:12" x14ac:dyDescent="0.2">
      <c r="L889" s="46"/>
    </row>
    <row r="890" spans="12:12" x14ac:dyDescent="0.2">
      <c r="L890" s="46"/>
    </row>
    <row r="891" spans="12:12" x14ac:dyDescent="0.2">
      <c r="L891" s="46"/>
    </row>
    <row r="892" spans="12:12" x14ac:dyDescent="0.2">
      <c r="L892" s="46"/>
    </row>
    <row r="893" spans="12:12" x14ac:dyDescent="0.2">
      <c r="L893" s="46"/>
    </row>
    <row r="894" spans="12:12" x14ac:dyDescent="0.2">
      <c r="L894" s="46"/>
    </row>
    <row r="895" spans="12:12" x14ac:dyDescent="0.2">
      <c r="L895" s="46"/>
    </row>
    <row r="896" spans="12:12" x14ac:dyDescent="0.2">
      <c r="L896" s="46"/>
    </row>
    <row r="897" spans="12:12" x14ac:dyDescent="0.2">
      <c r="L897" s="46"/>
    </row>
    <row r="898" spans="12:12" x14ac:dyDescent="0.2">
      <c r="L898" s="46"/>
    </row>
    <row r="899" spans="12:12" x14ac:dyDescent="0.2">
      <c r="L899" s="46"/>
    </row>
    <row r="900" spans="12:12" x14ac:dyDescent="0.2">
      <c r="L900" s="46"/>
    </row>
    <row r="901" spans="12:12" x14ac:dyDescent="0.2">
      <c r="L901" s="46"/>
    </row>
    <row r="902" spans="12:12" x14ac:dyDescent="0.2">
      <c r="L902" s="46"/>
    </row>
    <row r="903" spans="12:12" x14ac:dyDescent="0.2">
      <c r="L903" s="46"/>
    </row>
    <row r="904" spans="12:12" x14ac:dyDescent="0.2">
      <c r="L904" s="46"/>
    </row>
    <row r="905" spans="12:12" x14ac:dyDescent="0.2">
      <c r="L905" s="46"/>
    </row>
    <row r="906" spans="12:12" x14ac:dyDescent="0.2">
      <c r="L906" s="46"/>
    </row>
    <row r="907" spans="12:12" x14ac:dyDescent="0.2">
      <c r="L907" s="46"/>
    </row>
    <row r="908" spans="12:12" x14ac:dyDescent="0.2">
      <c r="L908" s="46"/>
    </row>
    <row r="909" spans="12:12" x14ac:dyDescent="0.2">
      <c r="L909" s="46"/>
    </row>
    <row r="910" spans="12:12" x14ac:dyDescent="0.2">
      <c r="L910" s="46"/>
    </row>
    <row r="911" spans="12:12" x14ac:dyDescent="0.2">
      <c r="L911" s="46"/>
    </row>
    <row r="912" spans="12:12" x14ac:dyDescent="0.2">
      <c r="L912" s="46"/>
    </row>
    <row r="913" spans="12:12" x14ac:dyDescent="0.2">
      <c r="L913" s="46"/>
    </row>
    <row r="914" spans="12:12" x14ac:dyDescent="0.2">
      <c r="L914" s="46"/>
    </row>
    <row r="915" spans="12:12" x14ac:dyDescent="0.2">
      <c r="L915" s="46"/>
    </row>
    <row r="916" spans="12:12" x14ac:dyDescent="0.2">
      <c r="L916" s="46"/>
    </row>
    <row r="917" spans="12:12" x14ac:dyDescent="0.2">
      <c r="L917" s="46"/>
    </row>
    <row r="918" spans="12:12" x14ac:dyDescent="0.2">
      <c r="L918" s="46"/>
    </row>
    <row r="919" spans="12:12" x14ac:dyDescent="0.2">
      <c r="L919" s="46"/>
    </row>
    <row r="920" spans="12:12" x14ac:dyDescent="0.2">
      <c r="L920" s="46"/>
    </row>
    <row r="921" spans="12:12" x14ac:dyDescent="0.2">
      <c r="L921" s="46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13AC-0388-1E42-8928-88EA463835C6}">
  <dimension ref="A1:BE921"/>
  <sheetViews>
    <sheetView topLeftCell="R48" zoomScaleNormal="100" workbookViewId="0">
      <selection activeCell="AA94" sqref="AA94"/>
    </sheetView>
  </sheetViews>
  <sheetFormatPr baseColWidth="10" defaultColWidth="11" defaultRowHeight="16" x14ac:dyDescent="0.2"/>
  <cols>
    <col min="1" max="1" width="17.33203125" customWidth="1"/>
    <col min="2" max="2" width="16.1640625" customWidth="1"/>
    <col min="3" max="3" width="9.1640625" customWidth="1"/>
    <col min="4" max="24" width="8.83203125" customWidth="1"/>
    <col min="25" max="25" width="20.1640625" style="2" customWidth="1"/>
    <col min="26" max="26" width="24.83203125" style="2" customWidth="1"/>
    <col min="27" max="27" width="21.1640625" style="2" customWidth="1"/>
    <col min="28" max="28" width="12" style="2" customWidth="1"/>
    <col min="29" max="29" width="9.1640625" style="2" customWidth="1"/>
    <col min="30" max="30" width="11.33203125" style="2" customWidth="1"/>
    <col min="31" max="31" width="9.1640625" style="2" customWidth="1"/>
    <col min="32" max="32" width="10.1640625" style="2" bestFit="1" customWidth="1"/>
    <col min="33" max="33" width="18" style="2" customWidth="1"/>
    <col min="34" max="34" width="11" style="2"/>
    <col min="35" max="35" width="10.6640625" style="2" customWidth="1"/>
    <col min="36" max="42" width="9.1640625" style="2" customWidth="1"/>
    <col min="43" max="230" width="8.83203125" customWidth="1"/>
  </cols>
  <sheetData>
    <row r="1" spans="1:57" x14ac:dyDescent="0.2">
      <c r="F1" s="1"/>
    </row>
    <row r="2" spans="1:57" x14ac:dyDescent="0.2">
      <c r="F2" s="1"/>
    </row>
    <row r="3" spans="1:57" x14ac:dyDescent="0.2">
      <c r="B3" s="3" t="s">
        <v>0</v>
      </c>
      <c r="C3" s="3"/>
      <c r="F3" s="1"/>
      <c r="N3" s="3" t="s">
        <v>1</v>
      </c>
      <c r="Y3" s="4" t="s">
        <v>2</v>
      </c>
    </row>
    <row r="5" spans="1:57" ht="29" x14ac:dyDescent="0.2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Y5" s="5"/>
      <c r="Z5" s="6" t="s">
        <v>3</v>
      </c>
      <c r="AA5" s="6" t="s">
        <v>4</v>
      </c>
      <c r="AB5" s="6"/>
    </row>
    <row r="6" spans="1:57" x14ac:dyDescent="0.2">
      <c r="B6" t="s">
        <v>5</v>
      </c>
      <c r="C6" s="7" t="s">
        <v>6</v>
      </c>
      <c r="D6" s="8" t="s">
        <v>7</v>
      </c>
      <c r="E6" s="8" t="s">
        <v>8</v>
      </c>
      <c r="F6" s="8" t="s">
        <v>62</v>
      </c>
      <c r="G6" s="8" t="s">
        <v>10</v>
      </c>
      <c r="H6" s="8" t="s">
        <v>11</v>
      </c>
      <c r="I6" s="8" t="s">
        <v>12</v>
      </c>
      <c r="J6" s="8"/>
      <c r="M6" s="7" t="s">
        <v>6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s="2" t="s">
        <v>21</v>
      </c>
      <c r="W6" s="2"/>
      <c r="Y6" t="s">
        <v>6</v>
      </c>
      <c r="Z6" s="9">
        <v>1.0788406118340976E-2</v>
      </c>
      <c r="AA6" s="9">
        <v>2.5893761922941819E-3</v>
      </c>
      <c r="AB6" s="10"/>
    </row>
    <row r="7" spans="1:57" x14ac:dyDescent="0.2">
      <c r="B7" t="s">
        <v>22</v>
      </c>
      <c r="C7" s="7" t="s">
        <v>23</v>
      </c>
      <c r="D7" t="s">
        <v>24</v>
      </c>
      <c r="E7" t="s">
        <v>25</v>
      </c>
      <c r="M7" s="7"/>
      <c r="X7">
        <v>1</v>
      </c>
      <c r="Y7" s="8" t="s">
        <v>7</v>
      </c>
      <c r="Z7" s="11">
        <f>D72</f>
        <v>0.1450220177829844</v>
      </c>
      <c r="AA7" s="11">
        <f>D73</f>
        <v>0.17189025120253087</v>
      </c>
      <c r="AB7" s="12"/>
    </row>
    <row r="8" spans="1:57" x14ac:dyDescent="0.2">
      <c r="B8" s="13"/>
      <c r="C8" s="14"/>
      <c r="E8" s="1"/>
      <c r="M8" s="7"/>
      <c r="X8">
        <v>2</v>
      </c>
      <c r="Y8" s="8" t="s">
        <v>8</v>
      </c>
      <c r="Z8" s="11">
        <f>E72</f>
        <v>9.8582973920927852E-2</v>
      </c>
      <c r="AA8" s="11">
        <f>E73</f>
        <v>0.22277741073519366</v>
      </c>
      <c r="AB8" s="12"/>
    </row>
    <row r="9" spans="1:57" x14ac:dyDescent="0.2">
      <c r="A9">
        <v>1</v>
      </c>
      <c r="B9" s="15">
        <v>1.01</v>
      </c>
      <c r="C9" s="16">
        <f>(1+B9/100)^(1/12)-1</f>
        <v>8.3779540909700856E-4</v>
      </c>
      <c r="D9">
        <v>3.0612E-3</v>
      </c>
      <c r="E9">
        <v>-1.2722000000000001E-2</v>
      </c>
      <c r="F9">
        <v>1.0827E-2</v>
      </c>
      <c r="G9">
        <v>1.064E-2</v>
      </c>
      <c r="H9">
        <v>6.9742000000000007E-3</v>
      </c>
      <c r="I9">
        <v>-4.1117999999999997E-3</v>
      </c>
      <c r="L9">
        <v>1</v>
      </c>
      <c r="M9" s="16">
        <f t="shared" ref="M9:M68" si="0">C9</f>
        <v>8.3779540909700856E-4</v>
      </c>
      <c r="N9">
        <f t="array" ref="N9:V68">MMULT(D9:I68,Z47:AH52)</f>
        <v>1.0826999999999998E-2</v>
      </c>
      <c r="O9">
        <v>9.9393410014523703E-3</v>
      </c>
      <c r="P9">
        <v>1.043229772003468E-2</v>
      </c>
      <c r="Q9">
        <v>9.5887674205647182E-3</v>
      </c>
      <c r="R9">
        <v>8.5329248035482426E-3</v>
      </c>
      <c r="S9">
        <v>7.7262535744692176E-3</v>
      </c>
      <c r="T9">
        <v>6.2645026961647386E-3</v>
      </c>
      <c r="U9">
        <v>4.4712602187530134E-3</v>
      </c>
      <c r="V9">
        <v>3.0612E-3</v>
      </c>
      <c r="X9">
        <v>3</v>
      </c>
      <c r="Y9" s="8" t="s">
        <v>26</v>
      </c>
      <c r="Z9" s="11">
        <f>F72</f>
        <v>1.1255146793776927E-2</v>
      </c>
      <c r="AA9" s="11">
        <f>F73</f>
        <v>4.479417818188542E-2</v>
      </c>
      <c r="AB9" s="12"/>
    </row>
    <row r="10" spans="1:57" x14ac:dyDescent="0.2">
      <c r="A10">
        <f>A9+1</f>
        <v>2</v>
      </c>
      <c r="B10" s="15">
        <v>1.03</v>
      </c>
      <c r="C10" s="16">
        <f t="shared" ref="C10:C68" si="1">(1+B10/100)^(1/12)-1</f>
        <v>8.543077507923158E-4</v>
      </c>
      <c r="D10">
        <v>2.0628199999999999E-2</v>
      </c>
      <c r="E10">
        <v>6.2408999999999999E-2</v>
      </c>
      <c r="F10">
        <v>-8.575000000000001E-3</v>
      </c>
      <c r="G10">
        <v>-6.4073000000000003E-3</v>
      </c>
      <c r="H10">
        <v>-3.8100000000000005E-4</v>
      </c>
      <c r="I10">
        <v>1.0904E-3</v>
      </c>
      <c r="L10">
        <f>L9+1</f>
        <v>2</v>
      </c>
      <c r="M10" s="16">
        <f t="shared" si="0"/>
        <v>8.543077507923158E-4</v>
      </c>
      <c r="N10">
        <v>-8.5749999999999993E-3</v>
      </c>
      <c r="O10">
        <v>-5.4234566696005383E-3</v>
      </c>
      <c r="P10">
        <v>-6.4164728992531228E-3</v>
      </c>
      <c r="Q10">
        <v>-2.6572870162396996E-3</v>
      </c>
      <c r="R10">
        <v>1.1091711397149245E-3</v>
      </c>
      <c r="S10">
        <v>3.9867718170999971E-3</v>
      </c>
      <c r="T10">
        <v>9.2012075945846622E-3</v>
      </c>
      <c r="U10">
        <v>1.5598157903085304E-2</v>
      </c>
      <c r="V10">
        <v>2.0628199999999999E-2</v>
      </c>
      <c r="X10">
        <v>4</v>
      </c>
      <c r="Y10" s="8" t="s">
        <v>10</v>
      </c>
      <c r="Z10" s="11">
        <f>G72</f>
        <v>4.1124261451965349E-2</v>
      </c>
      <c r="AA10" s="11">
        <f>G73</f>
        <v>4.6199426517679852E-2</v>
      </c>
      <c r="AB10" s="12"/>
    </row>
    <row r="11" spans="1:57" x14ac:dyDescent="0.2">
      <c r="A11">
        <f t="shared" ref="A11:A68" si="2">A10+1</f>
        <v>3</v>
      </c>
      <c r="B11" s="15">
        <v>1.07</v>
      </c>
      <c r="C11" s="16">
        <f t="shared" si="1"/>
        <v>8.8732344693531751E-4</v>
      </c>
      <c r="D11">
        <v>2.3335400000000003E-2</v>
      </c>
      <c r="E11">
        <v>8.5243000000000003E-3</v>
      </c>
      <c r="F11">
        <v>-1.2101E-3</v>
      </c>
      <c r="G11">
        <v>2.1390999999999997E-3</v>
      </c>
      <c r="H11">
        <v>4.0051999999999996E-3</v>
      </c>
      <c r="I11">
        <v>-1.1108199999999999E-2</v>
      </c>
      <c r="L11">
        <f t="shared" ref="L11:L68" si="3">L10+1</f>
        <v>3</v>
      </c>
      <c r="M11" s="16">
        <f t="shared" si="0"/>
        <v>8.8732344693531751E-4</v>
      </c>
      <c r="N11">
        <v>-1.2100999999999998E-3</v>
      </c>
      <c r="O11">
        <v>1.2749952627768202E-4</v>
      </c>
      <c r="P11">
        <v>1.3072987795482E-3</v>
      </c>
      <c r="Q11">
        <v>5.07917509414209E-3</v>
      </c>
      <c r="R11">
        <v>8.0321434879598863E-3</v>
      </c>
      <c r="S11">
        <v>1.0288232231946762E-2</v>
      </c>
      <c r="T11">
        <v>1.4376440146366628E-2</v>
      </c>
      <c r="U11">
        <v>1.939175992310729E-2</v>
      </c>
      <c r="V11">
        <v>2.3335400000000003E-2</v>
      </c>
      <c r="X11">
        <v>5</v>
      </c>
      <c r="Y11" s="8" t="s">
        <v>11</v>
      </c>
      <c r="Z11" s="17">
        <f>H72</f>
        <v>2.273036387857208E-2</v>
      </c>
      <c r="AA11" s="17">
        <f>H73</f>
        <v>6.8068641458528437E-2</v>
      </c>
      <c r="AB11" s="12"/>
      <c r="AC11"/>
      <c r="AD11"/>
      <c r="AE11"/>
      <c r="AF11"/>
      <c r="AG11"/>
      <c r="AI11"/>
      <c r="AJ11"/>
      <c r="AK11"/>
      <c r="AL11"/>
      <c r="AM11"/>
      <c r="AN11"/>
      <c r="AO11"/>
      <c r="AP11"/>
      <c r="AR11" s="18"/>
      <c r="AS11" s="19"/>
      <c r="AT11" s="19"/>
      <c r="AU11" s="19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2">
      <c r="A12">
        <f t="shared" si="2"/>
        <v>4</v>
      </c>
      <c r="B12" s="15">
        <v>1.23</v>
      </c>
      <c r="C12" s="16">
        <f t="shared" si="1"/>
        <v>1.0192665680117674E-3</v>
      </c>
      <c r="D12">
        <v>3.0669800000000001E-2</v>
      </c>
      <c r="E12">
        <v>2.8819400000000002E-2</v>
      </c>
      <c r="F12">
        <v>-1.3744E-3</v>
      </c>
      <c r="G12">
        <v>1.2975999999999999E-3</v>
      </c>
      <c r="H12">
        <v>-1.6164E-3</v>
      </c>
      <c r="I12">
        <v>2.6964000000000002E-2</v>
      </c>
      <c r="L12">
        <f t="shared" si="3"/>
        <v>4</v>
      </c>
      <c r="M12" s="16">
        <f t="shared" si="0"/>
        <v>1.0192665680117674E-3</v>
      </c>
      <c r="N12">
        <v>-1.3743999999999998E-3</v>
      </c>
      <c r="O12">
        <v>4.8529632512351651E-4</v>
      </c>
      <c r="P12">
        <v>1.129207134661874E-3</v>
      </c>
      <c r="Q12">
        <v>5.3717296207432576E-3</v>
      </c>
      <c r="R12">
        <v>9.4637257831345703E-3</v>
      </c>
      <c r="S12">
        <v>1.2590039800492853E-2</v>
      </c>
      <c r="T12">
        <v>1.8255163454334474E-2</v>
      </c>
      <c r="U12">
        <v>2.5205007320782017E-2</v>
      </c>
      <c r="V12">
        <v>3.0669800000000001E-2</v>
      </c>
      <c r="X12">
        <v>6</v>
      </c>
      <c r="Y12" s="8" t="s">
        <v>12</v>
      </c>
      <c r="Z12" s="17">
        <f>I72</f>
        <v>8.7265615500962346E-2</v>
      </c>
      <c r="AA12" s="17">
        <f>I73</f>
        <v>0.18788228716613353</v>
      </c>
      <c r="AB12" s="12"/>
      <c r="AC12"/>
      <c r="AD12"/>
      <c r="AE12"/>
      <c r="AF12"/>
      <c r="AG12"/>
      <c r="AI12"/>
      <c r="AJ12"/>
      <c r="AK12"/>
      <c r="AL12"/>
      <c r="AM12"/>
      <c r="AN12"/>
      <c r="AO12"/>
      <c r="AP12"/>
      <c r="AR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2">
      <c r="A13">
        <f t="shared" si="2"/>
        <v>5</v>
      </c>
      <c r="B13" s="15">
        <v>1.32</v>
      </c>
      <c r="C13" s="16">
        <f t="shared" si="1"/>
        <v>1.0934005891671816E-3</v>
      </c>
      <c r="D13">
        <v>1.1118699999999999E-2</v>
      </c>
      <c r="E13">
        <v>-4.0360999999999999E-3</v>
      </c>
      <c r="F13">
        <v>3.0908000000000003E-3</v>
      </c>
      <c r="G13">
        <v>9.1549999999999999E-3</v>
      </c>
      <c r="H13">
        <v>7.5915000000000002E-3</v>
      </c>
      <c r="I13">
        <v>-1.5758E-3</v>
      </c>
      <c r="L13">
        <f t="shared" si="3"/>
        <v>5</v>
      </c>
      <c r="M13" s="16">
        <f t="shared" si="0"/>
        <v>1.0934005891671816E-3</v>
      </c>
      <c r="N13">
        <v>3.0907999999999995E-3</v>
      </c>
      <c r="O13">
        <v>4.6380046438410493E-3</v>
      </c>
      <c r="P13">
        <v>6.2017936781683363E-3</v>
      </c>
      <c r="Q13">
        <v>9.4273789275659825E-3</v>
      </c>
      <c r="R13">
        <v>9.7009523358938497E-3</v>
      </c>
      <c r="S13">
        <v>9.9099643552824704E-3</v>
      </c>
      <c r="T13">
        <v>1.0288710357251981E-2</v>
      </c>
      <c r="U13">
        <v>1.0753347272448765E-2</v>
      </c>
      <c r="V13">
        <v>1.1118699999999999E-2</v>
      </c>
      <c r="Y13" s="8"/>
      <c r="Z13" s="17"/>
      <c r="AA13" s="17"/>
      <c r="AB13" s="12"/>
      <c r="AC13"/>
      <c r="AD13"/>
      <c r="AE13"/>
      <c r="AF13"/>
      <c r="AG13"/>
      <c r="AI13"/>
      <c r="AJ13"/>
      <c r="AK13"/>
      <c r="AL13"/>
      <c r="AM13"/>
      <c r="AN13"/>
      <c r="AO13"/>
      <c r="AP13"/>
      <c r="AR13" s="2"/>
      <c r="AS13" s="15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x14ac:dyDescent="0.2">
      <c r="A14">
        <f t="shared" si="2"/>
        <v>6</v>
      </c>
      <c r="B14" s="15">
        <v>1.41</v>
      </c>
      <c r="C14" s="16">
        <f t="shared" si="1"/>
        <v>1.1674742711142994E-3</v>
      </c>
      <c r="D14">
        <v>5.7253999999999999E-2</v>
      </c>
      <c r="E14">
        <v>2.6134300000000003E-2</v>
      </c>
      <c r="F14">
        <v>-1.35891E-2</v>
      </c>
      <c r="G14">
        <v>-8.5746999999999993E-3</v>
      </c>
      <c r="H14">
        <v>-6.6296999999999997E-3</v>
      </c>
      <c r="I14">
        <v>-4.3163900000000005E-2</v>
      </c>
      <c r="L14">
        <f t="shared" si="3"/>
        <v>6</v>
      </c>
      <c r="M14" s="16">
        <f t="shared" si="0"/>
        <v>1.1674742711142994E-3</v>
      </c>
      <c r="N14">
        <v>-1.3589099999999996E-2</v>
      </c>
      <c r="O14">
        <v>-1.0697727308662921E-2</v>
      </c>
      <c r="P14">
        <v>-8.4652075772319174E-3</v>
      </c>
      <c r="Q14">
        <v>5.5620121152047224E-4</v>
      </c>
      <c r="R14">
        <v>9.7271447491243702E-3</v>
      </c>
      <c r="S14">
        <v>1.6733810492734758E-2</v>
      </c>
      <c r="T14">
        <v>2.9430432654903201E-2</v>
      </c>
      <c r="U14">
        <v>4.5006357744995715E-2</v>
      </c>
      <c r="V14">
        <v>5.7253999999999999E-2</v>
      </c>
      <c r="Y14" s="8"/>
      <c r="Z14" s="17"/>
      <c r="AA14" s="17"/>
      <c r="AB14" s="12"/>
      <c r="AC14"/>
      <c r="AD14"/>
      <c r="AE14"/>
      <c r="AF14"/>
      <c r="AG14"/>
      <c r="AI14"/>
      <c r="AJ14"/>
      <c r="AK14"/>
      <c r="AL14"/>
      <c r="AM14"/>
      <c r="AN14"/>
      <c r="AO14"/>
      <c r="AP14"/>
      <c r="AR14" s="2"/>
      <c r="AS14" s="15"/>
      <c r="AT14" s="15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x14ac:dyDescent="0.2">
      <c r="A15">
        <f t="shared" si="2"/>
        <v>7</v>
      </c>
      <c r="B15" s="15">
        <v>1.57</v>
      </c>
      <c r="C15" s="16">
        <f t="shared" si="1"/>
        <v>1.2990121499387719E-3</v>
      </c>
      <c r="D15">
        <v>-3.6857099999999997E-2</v>
      </c>
      <c r="E15">
        <v>-3.8721699999999998E-2</v>
      </c>
      <c r="F15">
        <v>-7.5326000000000004E-3</v>
      </c>
      <c r="G15">
        <v>-9.7184000000000003E-3</v>
      </c>
      <c r="H15">
        <v>-1.4009899999999999E-2</v>
      </c>
      <c r="I15">
        <v>-7.397999999999999E-2</v>
      </c>
      <c r="L15">
        <f t="shared" si="3"/>
        <v>7</v>
      </c>
      <c r="M15" s="16">
        <f t="shared" si="0"/>
        <v>1.2990121499387719E-3</v>
      </c>
      <c r="N15">
        <v>-7.5325999999999987E-3</v>
      </c>
      <c r="O15">
        <v>-9.2832283123219003E-3</v>
      </c>
      <c r="P15">
        <v>-9.7042807514275305E-3</v>
      </c>
      <c r="Q15">
        <v>-1.3482727545722318E-2</v>
      </c>
      <c r="R15">
        <v>-1.7263563038204637E-2</v>
      </c>
      <c r="S15">
        <v>-2.0152148102410963E-2</v>
      </c>
      <c r="T15">
        <v>-2.5386488441388352E-2</v>
      </c>
      <c r="U15">
        <v>-3.1807857209759802E-2</v>
      </c>
      <c r="V15">
        <v>-3.6857099999999997E-2</v>
      </c>
      <c r="Y15" s="8" t="s">
        <v>27</v>
      </c>
      <c r="Z15" s="17"/>
      <c r="AA15" s="17"/>
      <c r="AB15" s="12"/>
      <c r="AC15"/>
      <c r="AD15"/>
      <c r="AE15"/>
      <c r="AF15"/>
      <c r="AG15"/>
      <c r="AI15"/>
      <c r="AJ15"/>
      <c r="AK15"/>
      <c r="AL15"/>
      <c r="AM15"/>
      <c r="AN15"/>
      <c r="AO15"/>
      <c r="AP15"/>
      <c r="AR15" s="2"/>
      <c r="AS15" s="15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7" thickBot="1" x14ac:dyDescent="0.25">
      <c r="A16">
        <f t="shared" si="2"/>
        <v>8</v>
      </c>
      <c r="B16" s="15">
        <v>1.7</v>
      </c>
      <c r="C16" s="16">
        <f t="shared" si="1"/>
        <v>1.4057468926966799E-3</v>
      </c>
      <c r="D16">
        <v>-2.54133E-2</v>
      </c>
      <c r="E16">
        <v>1.2933699999999999E-2</v>
      </c>
      <c r="F16">
        <v>9.4313000000000001E-3</v>
      </c>
      <c r="G16">
        <v>1.0504299999999999E-2</v>
      </c>
      <c r="H16">
        <v>7.4229999999999999E-4</v>
      </c>
      <c r="I16">
        <v>3.8473300000000002E-2</v>
      </c>
      <c r="L16">
        <f t="shared" si="3"/>
        <v>8</v>
      </c>
      <c r="M16" s="16">
        <f t="shared" si="0"/>
        <v>1.4057468926966799E-3</v>
      </c>
      <c r="N16">
        <v>9.4312999999999984E-3</v>
      </c>
      <c r="O16">
        <v>9.8733942446698579E-3</v>
      </c>
      <c r="P16">
        <v>8.5406132634405739E-3</v>
      </c>
      <c r="Q16">
        <v>5.5222776092356731E-3</v>
      </c>
      <c r="R16">
        <v>5.1840723649184198E-4</v>
      </c>
      <c r="S16">
        <v>-3.3045851287333648E-3</v>
      </c>
      <c r="T16">
        <v>-1.0232144022831242E-2</v>
      </c>
      <c r="U16">
        <v>-1.8730714509805877E-2</v>
      </c>
      <c r="V16">
        <v>-2.54133E-2</v>
      </c>
      <c r="Y16" s="20"/>
      <c r="Z16" s="21" t="s">
        <v>7</v>
      </c>
      <c r="AA16" s="21" t="s">
        <v>8</v>
      </c>
      <c r="AB16" s="21" t="s">
        <v>26</v>
      </c>
      <c r="AC16" s="21" t="s">
        <v>10</v>
      </c>
      <c r="AD16" s="21" t="s">
        <v>11</v>
      </c>
      <c r="AE16" s="21" t="s">
        <v>12</v>
      </c>
      <c r="AF16"/>
      <c r="AG16"/>
      <c r="AI16"/>
      <c r="AJ16"/>
      <c r="AK16"/>
      <c r="AL16"/>
      <c r="AM16"/>
      <c r="AN16"/>
      <c r="AO16"/>
      <c r="AP16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x14ac:dyDescent="0.2">
      <c r="A17">
        <f t="shared" si="2"/>
        <v>9</v>
      </c>
      <c r="B17" s="15">
        <v>1.76</v>
      </c>
      <c r="C17" s="16">
        <f t="shared" si="1"/>
        <v>1.4549669057570824E-3</v>
      </c>
      <c r="D17">
        <v>3.8371E-3</v>
      </c>
      <c r="E17">
        <v>8.6453999999999993E-3</v>
      </c>
      <c r="F17">
        <v>-8.0978000000000005E-3</v>
      </c>
      <c r="G17">
        <v>-5.7379999999999996E-4</v>
      </c>
      <c r="H17">
        <v>-6.0106000000000005E-3</v>
      </c>
      <c r="I17">
        <v>1.4664900000000002E-2</v>
      </c>
      <c r="L17">
        <f t="shared" si="3"/>
        <v>9</v>
      </c>
      <c r="M17" s="16">
        <f t="shared" si="0"/>
        <v>1.4549669057570824E-3</v>
      </c>
      <c r="N17">
        <v>-8.0977999999999987E-3</v>
      </c>
      <c r="O17">
        <v>-5.2739895232755121E-3</v>
      </c>
      <c r="P17">
        <v>-4.1594499561339393E-3</v>
      </c>
      <c r="Q17">
        <v>3.8022687579971227E-5</v>
      </c>
      <c r="R17">
        <v>6.5252844039017451E-4</v>
      </c>
      <c r="S17">
        <v>1.1220151829278682E-3</v>
      </c>
      <c r="T17">
        <v>1.9727616004495381E-3</v>
      </c>
      <c r="U17">
        <v>3.0164378082417186E-3</v>
      </c>
      <c r="V17">
        <v>3.8371E-3</v>
      </c>
      <c r="X17">
        <v>1</v>
      </c>
      <c r="Y17" s="8" t="s">
        <v>7</v>
      </c>
      <c r="Z17">
        <f>VARP([1]Sheet1!$D$9:$D$68)</f>
        <v>2.4621882048724308E-3</v>
      </c>
      <c r="AA17">
        <v>2.8519817734860846E-3</v>
      </c>
      <c r="AB17">
        <v>-6.4661401829374973E-5</v>
      </c>
      <c r="AC17">
        <v>3.0961135642204168E-4</v>
      </c>
      <c r="AD17">
        <v>6.2526926879595838E-4</v>
      </c>
      <c r="AE17">
        <v>2.1281292030580277E-3</v>
      </c>
      <c r="AF17"/>
      <c r="AG17"/>
      <c r="AI17"/>
      <c r="AJ17"/>
      <c r="AK17"/>
      <c r="AL17"/>
      <c r="AM17"/>
      <c r="AN17"/>
      <c r="AO17"/>
      <c r="AP17"/>
      <c r="BE17" s="2"/>
    </row>
    <row r="18" spans="1:57" x14ac:dyDescent="0.2">
      <c r="A18">
        <f t="shared" si="2"/>
        <v>10</v>
      </c>
      <c r="B18" s="15">
        <v>1.86</v>
      </c>
      <c r="C18" s="16">
        <f t="shared" si="1"/>
        <v>1.5369411743291206E-3</v>
      </c>
      <c r="D18">
        <v>2.4081999999999999E-2</v>
      </c>
      <c r="E18">
        <v>6.07006E-2</v>
      </c>
      <c r="F18">
        <v>8.9779999999999999E-3</v>
      </c>
      <c r="G18">
        <v>4.2630000000000003E-3</v>
      </c>
      <c r="H18">
        <v>3.7255999999999999E-3</v>
      </c>
      <c r="I18">
        <v>4.2378200000000005E-2</v>
      </c>
      <c r="L18">
        <f t="shared" si="3"/>
        <v>10</v>
      </c>
      <c r="M18" s="16">
        <f t="shared" si="0"/>
        <v>1.5369411743291206E-3</v>
      </c>
      <c r="N18">
        <v>8.9779999999999981E-3</v>
      </c>
      <c r="O18">
        <v>9.4069974348601499E-3</v>
      </c>
      <c r="P18">
        <v>7.4074253205500939E-3</v>
      </c>
      <c r="Q18">
        <v>7.0120339488874053E-3</v>
      </c>
      <c r="R18">
        <v>9.7731234124765615E-3</v>
      </c>
      <c r="S18">
        <v>1.1882615296299489E-2</v>
      </c>
      <c r="T18">
        <v>1.5705178321727856E-2</v>
      </c>
      <c r="U18">
        <v>2.0394611036646176E-2</v>
      </c>
      <c r="V18">
        <v>2.4081999999999999E-2</v>
      </c>
      <c r="X18">
        <v>2</v>
      </c>
      <c r="Y18" s="8" t="s">
        <v>8</v>
      </c>
      <c r="Z18">
        <v>2.8519817734860846E-3</v>
      </c>
      <c r="AA18">
        <f>VARP([1]Sheet1!$E$9:$E$68)</f>
        <v>4.1358145611564328E-3</v>
      </c>
      <c r="AB18">
        <v>-1.5751518778841652E-4</v>
      </c>
      <c r="AC18">
        <v>3.3188022726608329E-4</v>
      </c>
      <c r="AD18">
        <v>7.8013044138801671E-4</v>
      </c>
      <c r="AE18">
        <v>2.658314957609367E-3</v>
      </c>
      <c r="AF18"/>
      <c r="AG18"/>
      <c r="AI18"/>
      <c r="AJ18"/>
      <c r="AK18"/>
      <c r="AL18"/>
      <c r="AM18"/>
      <c r="AN18"/>
      <c r="AO18"/>
      <c r="AP18"/>
      <c r="BE18" s="2"/>
    </row>
    <row r="19" spans="1:57" x14ac:dyDescent="0.2">
      <c r="A19">
        <f t="shared" si="2"/>
        <v>11</v>
      </c>
      <c r="B19" s="15">
        <v>1.9</v>
      </c>
      <c r="C19" s="16">
        <f t="shared" si="1"/>
        <v>1.5697102274137009E-3</v>
      </c>
      <c r="D19">
        <v>6.1548999999999996E-3</v>
      </c>
      <c r="E19">
        <v>7.1657000000000005E-3</v>
      </c>
      <c r="F19">
        <v>2.041E-4</v>
      </c>
      <c r="G19">
        <v>4.0116000000000006E-3</v>
      </c>
      <c r="H19">
        <v>-3.9359E-3</v>
      </c>
      <c r="I19">
        <v>4.2511E-2</v>
      </c>
      <c r="L19">
        <f t="shared" si="3"/>
        <v>11</v>
      </c>
      <c r="M19" s="16">
        <f t="shared" si="0"/>
        <v>1.5697102274137009E-3</v>
      </c>
      <c r="N19">
        <v>2.0409999999999995E-4</v>
      </c>
      <c r="O19">
        <v>1.579676631954946E-3</v>
      </c>
      <c r="P19">
        <v>2.1935616629783711E-3</v>
      </c>
      <c r="Q19">
        <v>4.3088907040037538E-3</v>
      </c>
      <c r="R19">
        <v>4.6074851359786577E-3</v>
      </c>
      <c r="S19">
        <v>4.8356133944476871E-3</v>
      </c>
      <c r="T19">
        <v>5.2489995053715786E-3</v>
      </c>
      <c r="U19">
        <v>5.7561321123590367E-3</v>
      </c>
      <c r="V19">
        <v>6.1548999999999996E-3</v>
      </c>
      <c r="X19">
        <v>3</v>
      </c>
      <c r="Y19" s="8" t="s">
        <v>26</v>
      </c>
      <c r="Z19">
        <v>-6.4661401829374973E-5</v>
      </c>
      <c r="AA19">
        <v>-1.5751518778841652E-4</v>
      </c>
      <c r="AB19">
        <f>VARP([1]Sheet1!$F$9:$F$68)</f>
        <v>1.6720986658254168E-4</v>
      </c>
      <c r="AC19">
        <v>1.12122264231125E-4</v>
      </c>
      <c r="AD19">
        <v>1.0666316883420835E-4</v>
      </c>
      <c r="AE19">
        <v>-1.9242937697083368E-5</v>
      </c>
      <c r="AF19"/>
      <c r="AG19"/>
      <c r="AI19"/>
      <c r="AJ19"/>
      <c r="AK19"/>
      <c r="AL19"/>
      <c r="AM19"/>
      <c r="AN19"/>
      <c r="AO19"/>
      <c r="AP19"/>
      <c r="BE19" s="2"/>
    </row>
    <row r="20" spans="1:57" x14ac:dyDescent="0.2">
      <c r="A20">
        <f t="shared" si="2"/>
        <v>12</v>
      </c>
      <c r="B20" s="15">
        <v>1.96</v>
      </c>
      <c r="C20" s="16">
        <f t="shared" si="1"/>
        <v>1.6188417051281601E-3</v>
      </c>
      <c r="D20">
        <v>3.7213599999999999E-2</v>
      </c>
      <c r="E20">
        <v>1.74285E-2</v>
      </c>
      <c r="F20">
        <v>-4.1825000000000005E-3</v>
      </c>
      <c r="G20">
        <v>-4.8110999999999996E-3</v>
      </c>
      <c r="H20">
        <v>8.0283999999999998E-3</v>
      </c>
      <c r="I20">
        <v>6.8372999999999993E-3</v>
      </c>
      <c r="L20">
        <f t="shared" si="3"/>
        <v>12</v>
      </c>
      <c r="M20" s="16">
        <f t="shared" si="0"/>
        <v>1.6188417051281601E-3</v>
      </c>
      <c r="N20">
        <v>-4.1824999999999996E-3</v>
      </c>
      <c r="O20">
        <v>-3.6052895069840175E-3</v>
      </c>
      <c r="P20">
        <v>-2.8268588319867731E-3</v>
      </c>
      <c r="Q20">
        <v>1.018019884545562E-3</v>
      </c>
      <c r="R20">
        <v>6.8727025819821271E-3</v>
      </c>
      <c r="S20">
        <v>1.1345721582440949E-2</v>
      </c>
      <c r="T20">
        <v>1.9451179192548393E-2</v>
      </c>
      <c r="U20">
        <v>2.9394768829494149E-2</v>
      </c>
      <c r="V20">
        <v>3.7213599999999999E-2</v>
      </c>
      <c r="X20">
        <v>4</v>
      </c>
      <c r="Y20" s="8" t="s">
        <v>10</v>
      </c>
      <c r="Z20">
        <v>3.0961135642204168E-4</v>
      </c>
      <c r="AA20">
        <v>3.3188022726608329E-4</v>
      </c>
      <c r="AB20">
        <v>1.12122264231125E-4</v>
      </c>
      <c r="AC20">
        <f>VARP([1]Sheet1!$G$9:$G$68)</f>
        <v>1.7786558421354167E-4</v>
      </c>
      <c r="AD20">
        <v>2.01593465622625E-4</v>
      </c>
      <c r="AE20">
        <v>3.8707254979858326E-4</v>
      </c>
      <c r="AF20"/>
      <c r="AG20"/>
      <c r="AI20"/>
      <c r="AJ20"/>
      <c r="AK20"/>
      <c r="AL20"/>
      <c r="AM20"/>
      <c r="AN20"/>
      <c r="AO20"/>
      <c r="AP20"/>
      <c r="BE20" s="2"/>
    </row>
    <row r="21" spans="1:57" x14ac:dyDescent="0.2">
      <c r="A21">
        <f t="shared" si="2"/>
        <v>13</v>
      </c>
      <c r="B21" s="15">
        <v>2.0299999999999998</v>
      </c>
      <c r="C21" s="16">
        <f t="shared" si="1"/>
        <v>1.6761282769228725E-3</v>
      </c>
      <c r="D21">
        <v>3.2585299999999998E-2</v>
      </c>
      <c r="E21">
        <v>4.3109900000000007E-2</v>
      </c>
      <c r="F21">
        <v>7.6483999999999996E-3</v>
      </c>
      <c r="G21">
        <v>7.2026E-3</v>
      </c>
      <c r="H21">
        <v>5.7345E-3</v>
      </c>
      <c r="I21">
        <v>3.14276E-2</v>
      </c>
      <c r="L21">
        <f t="shared" si="3"/>
        <v>13</v>
      </c>
      <c r="M21" s="16">
        <f t="shared" si="0"/>
        <v>1.6761282769228725E-3</v>
      </c>
      <c r="N21">
        <v>7.6483999999999979E-3</v>
      </c>
      <c r="O21">
        <v>8.769294834058779E-3</v>
      </c>
      <c r="P21">
        <v>8.4341264178175585E-3</v>
      </c>
      <c r="Q21">
        <v>1.0723358061174849E-2</v>
      </c>
      <c r="R21">
        <v>1.4259555928244048E-2</v>
      </c>
      <c r="S21">
        <v>1.696123611591811E-2</v>
      </c>
      <c r="T21">
        <v>2.1856890311666665E-2</v>
      </c>
      <c r="U21">
        <v>2.7862766681461166E-2</v>
      </c>
      <c r="V21">
        <v>3.2585299999999998E-2</v>
      </c>
      <c r="X21">
        <v>5</v>
      </c>
      <c r="Y21" s="8" t="s">
        <v>11</v>
      </c>
      <c r="Z21">
        <v>6.2526926879595838E-4</v>
      </c>
      <c r="AA21">
        <v>7.8013044138801671E-4</v>
      </c>
      <c r="AB21">
        <v>1.0666316883420835E-4</v>
      </c>
      <c r="AC21">
        <v>2.01593465622625E-4</v>
      </c>
      <c r="AD21">
        <f>VARP([1]Sheet1!$H$9:$H$68)</f>
        <v>3.8611166250080814E-4</v>
      </c>
      <c r="AE21">
        <v>6.8689786145695005E-4</v>
      </c>
      <c r="AF21"/>
      <c r="AG21"/>
      <c r="AI21"/>
      <c r="AJ21"/>
      <c r="AK21"/>
      <c r="AL21"/>
      <c r="AM21"/>
      <c r="AN21"/>
      <c r="AO21"/>
      <c r="AP21"/>
      <c r="BE21" s="2"/>
    </row>
    <row r="22" spans="1:57" ht="17" thickBot="1" x14ac:dyDescent="0.25">
      <c r="A22">
        <f t="shared" si="2"/>
        <v>14</v>
      </c>
      <c r="B22" s="15">
        <v>2.13</v>
      </c>
      <c r="C22" s="16">
        <f t="shared" si="1"/>
        <v>1.7579037712718293E-3</v>
      </c>
      <c r="D22">
        <v>5.6918999999999997E-3</v>
      </c>
      <c r="E22">
        <v>-2.4052199999999999E-2</v>
      </c>
      <c r="F22">
        <v>-9.3359000000000011E-3</v>
      </c>
      <c r="G22">
        <v>-1.05308E-2</v>
      </c>
      <c r="H22">
        <v>-1.7788000000000001E-3</v>
      </c>
      <c r="I22">
        <v>-2.7295600000000003E-2</v>
      </c>
      <c r="L22">
        <f t="shared" si="3"/>
        <v>14</v>
      </c>
      <c r="M22" s="16">
        <f t="shared" si="0"/>
        <v>1.7579037712718293E-3</v>
      </c>
      <c r="N22">
        <v>-9.3358999999999994E-3</v>
      </c>
      <c r="O22">
        <v>-1.0210438470629088E-2</v>
      </c>
      <c r="P22">
        <v>-9.2888410675375649E-3</v>
      </c>
      <c r="Q22">
        <v>-8.2805980199497607E-3</v>
      </c>
      <c r="R22">
        <v>-6.0205280849899828E-3</v>
      </c>
      <c r="S22">
        <v>-4.2938186655594266E-3</v>
      </c>
      <c r="T22">
        <v>-1.1648871759476031E-3</v>
      </c>
      <c r="U22">
        <v>2.6736142673293261E-3</v>
      </c>
      <c r="V22">
        <v>5.6918999999999997E-3</v>
      </c>
      <c r="X22">
        <v>6</v>
      </c>
      <c r="Y22" s="22" t="s">
        <v>12</v>
      </c>
      <c r="Z22" s="23">
        <v>2.1281292030580277E-3</v>
      </c>
      <c r="AA22" s="23">
        <v>2.658314957609367E-3</v>
      </c>
      <c r="AB22" s="23">
        <v>-1.9242937697083368E-5</v>
      </c>
      <c r="AC22" s="23">
        <v>3.8707254979858326E-4</v>
      </c>
      <c r="AD22" s="23">
        <v>6.8689786145695005E-4</v>
      </c>
      <c r="AE22" s="23">
        <f>VARP([1]Sheet1!$I$9:$I$68)</f>
        <v>2.9416461525647885E-3</v>
      </c>
      <c r="AF22"/>
      <c r="AG22"/>
      <c r="AI22"/>
      <c r="AJ22"/>
      <c r="AK22"/>
      <c r="AL22"/>
      <c r="AM22"/>
      <c r="AN22"/>
      <c r="AO22"/>
      <c r="AP22"/>
      <c r="BE22" s="2"/>
    </row>
    <row r="23" spans="1:57" x14ac:dyDescent="0.2">
      <c r="A23">
        <f t="shared" si="2"/>
        <v>15</v>
      </c>
      <c r="B23" s="15">
        <v>2.25</v>
      </c>
      <c r="C23" s="16">
        <f t="shared" si="1"/>
        <v>1.855937535336194E-3</v>
      </c>
      <c r="D23">
        <v>-6.83502E-2</v>
      </c>
      <c r="E23">
        <v>-0.1086164</v>
      </c>
      <c r="F23">
        <v>-4.7768999999999997E-3</v>
      </c>
      <c r="G23">
        <v>-1.43333E-2</v>
      </c>
      <c r="H23">
        <v>-1.39773E-2</v>
      </c>
      <c r="I23">
        <v>-2.6007500000000003E-2</v>
      </c>
      <c r="L23">
        <f t="shared" si="3"/>
        <v>15</v>
      </c>
      <c r="M23" s="16">
        <f t="shared" si="0"/>
        <v>1.855937535336194E-3</v>
      </c>
      <c r="N23">
        <v>-4.7768999999999989E-3</v>
      </c>
      <c r="O23">
        <v>-1.1281496090940819E-2</v>
      </c>
      <c r="P23">
        <v>-1.1703042759147483E-2</v>
      </c>
      <c r="Q23">
        <v>-2.1825821919050206E-2</v>
      </c>
      <c r="R23">
        <v>-2.9351201274504524E-2</v>
      </c>
      <c r="S23">
        <v>-3.5100644341222051E-2</v>
      </c>
      <c r="T23">
        <v>-4.5519081431300339E-2</v>
      </c>
      <c r="U23">
        <v>-5.8300181285908109E-2</v>
      </c>
      <c r="V23">
        <v>-6.83502E-2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BE23" s="2"/>
    </row>
    <row r="24" spans="1:57" x14ac:dyDescent="0.2">
      <c r="A24">
        <f t="shared" si="2"/>
        <v>16</v>
      </c>
      <c r="B24" s="15">
        <v>2.33</v>
      </c>
      <c r="C24" s="16">
        <f t="shared" si="1"/>
        <v>1.921234803683225E-3</v>
      </c>
      <c r="D24">
        <v>2.0378400000000001E-2</v>
      </c>
      <c r="E24">
        <v>1.58949E-2</v>
      </c>
      <c r="F24">
        <v>8.8766000000000001E-3</v>
      </c>
      <c r="G24">
        <v>4.7774000000000002E-3</v>
      </c>
      <c r="H24">
        <v>-3.0606000000000001E-3</v>
      </c>
      <c r="I24">
        <v>4.7991300000000001E-2</v>
      </c>
      <c r="L24">
        <f t="shared" si="3"/>
        <v>16</v>
      </c>
      <c r="M24" s="16">
        <f t="shared" si="0"/>
        <v>1.921234803683225E-3</v>
      </c>
      <c r="N24">
        <v>8.8765999999999984E-3</v>
      </c>
      <c r="O24">
        <v>7.9085112709466766E-3</v>
      </c>
      <c r="P24">
        <v>7.4463922602675129E-3</v>
      </c>
      <c r="Q24">
        <v>6.9413678407887584E-3</v>
      </c>
      <c r="R24">
        <v>9.1148254683912841E-3</v>
      </c>
      <c r="S24">
        <v>1.07753624722523E-2</v>
      </c>
      <c r="T24">
        <v>1.3784384408763121E-2</v>
      </c>
      <c r="U24">
        <v>1.7475783560357085E-2</v>
      </c>
      <c r="V24">
        <v>2.0378400000000001E-2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BE24" s="2"/>
    </row>
    <row r="25" spans="1:57" ht="17" thickBot="1" x14ac:dyDescent="0.25">
      <c r="A25">
        <f t="shared" si="2"/>
        <v>17</v>
      </c>
      <c r="B25" s="15">
        <v>2.37</v>
      </c>
      <c r="C25" s="16">
        <f t="shared" si="1"/>
        <v>1.9538658918776264E-3</v>
      </c>
      <c r="D25">
        <v>-9.0290900000000007E-2</v>
      </c>
      <c r="E25">
        <v>-0.118786</v>
      </c>
      <c r="F25">
        <v>2.15143E-2</v>
      </c>
      <c r="G25">
        <v>5.4645999999999991E-3</v>
      </c>
      <c r="H25">
        <v>9.1871999999999995E-3</v>
      </c>
      <c r="I25">
        <v>-8.1551100000000001E-2</v>
      </c>
      <c r="L25">
        <f t="shared" si="3"/>
        <v>17</v>
      </c>
      <c r="M25" s="16">
        <f t="shared" si="0"/>
        <v>1.9538658918776264E-3</v>
      </c>
      <c r="N25">
        <v>2.1514299999999997E-2</v>
      </c>
      <c r="O25">
        <v>1.1794882920024417E-2</v>
      </c>
      <c r="P25">
        <v>9.6819281605820609E-3</v>
      </c>
      <c r="Q25">
        <v>-7.8173577321099877E-3</v>
      </c>
      <c r="R25">
        <v>-2.115756168441392E-2</v>
      </c>
      <c r="S25">
        <v>-3.1349571880761179E-2</v>
      </c>
      <c r="T25">
        <v>-4.9818285427428818E-2</v>
      </c>
      <c r="U25">
        <v>-7.2475279944476154E-2</v>
      </c>
      <c r="V25">
        <v>-9.0290900000000007E-2</v>
      </c>
      <c r="Y25" t="s">
        <v>28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BE25" s="2"/>
    </row>
    <row r="26" spans="1:57" ht="18" customHeight="1" x14ac:dyDescent="0.2">
      <c r="A26">
        <f t="shared" si="2"/>
        <v>18</v>
      </c>
      <c r="B26" s="15">
        <v>2.37</v>
      </c>
      <c r="C26" s="16">
        <f t="shared" si="1"/>
        <v>1.9538658918776264E-3</v>
      </c>
      <c r="D26">
        <v>8.0135799999999993E-2</v>
      </c>
      <c r="E26">
        <v>0.1124985</v>
      </c>
      <c r="F26">
        <v>4.7052999999999999E-3</v>
      </c>
      <c r="G26">
        <v>1.3453E-2</v>
      </c>
      <c r="H26">
        <v>2.47566E-2</v>
      </c>
      <c r="I26">
        <v>0.1178361</v>
      </c>
      <c r="L26">
        <f t="shared" si="3"/>
        <v>18</v>
      </c>
      <c r="M26" s="16">
        <f t="shared" si="0"/>
        <v>1.9538658918776264E-3</v>
      </c>
      <c r="N26">
        <v>4.7052999999999991E-3</v>
      </c>
      <c r="O26">
        <v>1.1109697349742364E-2</v>
      </c>
      <c r="P26">
        <v>1.1730311749382615E-2</v>
      </c>
      <c r="Q26">
        <v>2.2702370856595641E-2</v>
      </c>
      <c r="R26">
        <v>3.1992303571799385E-2</v>
      </c>
      <c r="S26">
        <v>3.9089877888898505E-2</v>
      </c>
      <c r="T26">
        <v>5.1951233442258146E-2</v>
      </c>
      <c r="U26">
        <v>6.7729249681339601E-2</v>
      </c>
      <c r="V26">
        <v>8.0135799999999993E-2</v>
      </c>
      <c r="Y26" s="24"/>
      <c r="Z26" s="25" t="s">
        <v>7</v>
      </c>
      <c r="AA26" s="25" t="s">
        <v>8</v>
      </c>
      <c r="AB26" s="25" t="s">
        <v>26</v>
      </c>
      <c r="AC26" s="25" t="s">
        <v>10</v>
      </c>
      <c r="AD26" s="25" t="s">
        <v>11</v>
      </c>
      <c r="AE26" s="25" t="s">
        <v>12</v>
      </c>
      <c r="AF26" s="26"/>
      <c r="AG26" s="27"/>
      <c r="AH26" s="28"/>
      <c r="AI26" s="28"/>
      <c r="AJ26" s="28"/>
      <c r="AK26" s="28"/>
      <c r="AL26" s="28"/>
      <c r="AM26" s="28"/>
      <c r="AN26" s="29"/>
      <c r="AO26"/>
      <c r="AP26"/>
      <c r="BE26" s="2"/>
    </row>
    <row r="27" spans="1:57" ht="15.75" customHeight="1" x14ac:dyDescent="0.2">
      <c r="A27">
        <f t="shared" si="2"/>
        <v>19</v>
      </c>
      <c r="B27" s="15">
        <v>2.39</v>
      </c>
      <c r="C27" s="16">
        <f t="shared" si="1"/>
        <v>1.970177053312705E-3</v>
      </c>
      <c r="D27">
        <v>3.2108200000000003E-2</v>
      </c>
      <c r="E27">
        <v>5.1987800000000001E-2</v>
      </c>
      <c r="F27">
        <v>-2.7087000000000001E-3</v>
      </c>
      <c r="G27">
        <v>-1.3019999999999999E-4</v>
      </c>
      <c r="H27">
        <v>5.6352999999999993E-3</v>
      </c>
      <c r="I27">
        <v>4.2715000000000001E-3</v>
      </c>
      <c r="L27">
        <f t="shared" si="3"/>
        <v>19</v>
      </c>
      <c r="M27" s="16">
        <f t="shared" si="0"/>
        <v>1.970177053312705E-3</v>
      </c>
      <c r="N27">
        <v>-2.7086999999999996E-3</v>
      </c>
      <c r="O27">
        <v>-1.0858047010452284E-5</v>
      </c>
      <c r="P27">
        <v>-1.3795545035018915E-4</v>
      </c>
      <c r="Q27">
        <v>4.3414916119789947E-3</v>
      </c>
      <c r="R27">
        <v>8.8327932196773009E-3</v>
      </c>
      <c r="S27">
        <v>1.2264179422181819E-2</v>
      </c>
      <c r="T27">
        <v>1.8482117554225304E-2</v>
      </c>
      <c r="U27">
        <v>2.6110141553247597E-2</v>
      </c>
      <c r="V27">
        <v>3.2108200000000003E-2</v>
      </c>
      <c r="X27">
        <v>1</v>
      </c>
      <c r="Y27" s="8" t="s">
        <v>7</v>
      </c>
      <c r="Z27">
        <v>1</v>
      </c>
      <c r="AA27"/>
      <c r="AB27"/>
      <c r="AC27"/>
      <c r="AD27"/>
      <c r="AE27"/>
      <c r="AF27" s="30"/>
      <c r="AG27"/>
      <c r="AH27"/>
      <c r="AI27"/>
      <c r="AJ27"/>
      <c r="AK27"/>
      <c r="AL27"/>
      <c r="AM27"/>
      <c r="AN27"/>
      <c r="AO27"/>
      <c r="AP27"/>
      <c r="BD27" s="2"/>
    </row>
    <row r="28" spans="1:57" ht="15.75" customHeight="1" x14ac:dyDescent="0.2">
      <c r="A28">
        <f t="shared" si="2"/>
        <v>20</v>
      </c>
      <c r="B28" s="15">
        <v>2.4</v>
      </c>
      <c r="C28" s="16">
        <f t="shared" si="1"/>
        <v>1.9783315388433032E-3</v>
      </c>
      <c r="D28">
        <v>1.94317E-2</v>
      </c>
      <c r="E28">
        <v>-2.0929299999999998E-2</v>
      </c>
      <c r="F28">
        <v>1.9091400000000001E-2</v>
      </c>
      <c r="G28">
        <v>1.8380899999999999E-2</v>
      </c>
      <c r="H28">
        <v>2.25582E-2</v>
      </c>
      <c r="I28">
        <v>3.1322500000000003E-2</v>
      </c>
      <c r="L28">
        <f t="shared" si="3"/>
        <v>20</v>
      </c>
      <c r="M28" s="16">
        <f t="shared" si="0"/>
        <v>1.9783315388433032E-3</v>
      </c>
      <c r="N28">
        <v>1.9091399999999998E-2</v>
      </c>
      <c r="O28">
        <v>1.7466352901487979E-2</v>
      </c>
      <c r="P28">
        <v>1.8777807512173221E-2</v>
      </c>
      <c r="Q28">
        <v>1.8526653311140368E-2</v>
      </c>
      <c r="R28">
        <v>1.8673045803614226E-2</v>
      </c>
      <c r="S28">
        <v>1.8784890703534562E-2</v>
      </c>
      <c r="T28">
        <v>1.8987562343229812E-2</v>
      </c>
      <c r="U28">
        <v>1.9236195266022896E-2</v>
      </c>
      <c r="V28">
        <v>1.94317E-2</v>
      </c>
      <c r="X28">
        <f>X27+1</f>
        <v>2</v>
      </c>
      <c r="Y28" s="8" t="s">
        <v>8</v>
      </c>
      <c r="Z28">
        <v>0.89372847152756196</v>
      </c>
      <c r="AA28">
        <v>1</v>
      </c>
      <c r="AB28"/>
      <c r="AC28"/>
      <c r="AD28"/>
      <c r="AE28"/>
      <c r="AF28" s="30"/>
      <c r="AG28"/>
      <c r="AH28"/>
      <c r="AI28"/>
      <c r="AJ28"/>
      <c r="AK28"/>
      <c r="AL28"/>
      <c r="AM28"/>
      <c r="AN28"/>
      <c r="AO28"/>
      <c r="AP28"/>
      <c r="BD28" s="2"/>
    </row>
    <row r="29" spans="1:57" ht="15.75" customHeight="1" x14ac:dyDescent="0.2">
      <c r="A29">
        <f t="shared" si="2"/>
        <v>21</v>
      </c>
      <c r="B29" s="15">
        <v>2.38</v>
      </c>
      <c r="C29" s="16">
        <f t="shared" si="1"/>
        <v>1.9620218377029985E-3</v>
      </c>
      <c r="D29">
        <v>4.0489699999999997E-2</v>
      </c>
      <c r="E29">
        <v>3.3970600000000004E-2</v>
      </c>
      <c r="F29">
        <v>-2.7764999999999999E-3</v>
      </c>
      <c r="G29">
        <v>3.3243999999999999E-3</v>
      </c>
      <c r="H29">
        <v>6.8454000000000006E-3</v>
      </c>
      <c r="I29">
        <v>-2.8077999999999996E-3</v>
      </c>
      <c r="L29">
        <f t="shared" si="3"/>
        <v>21</v>
      </c>
      <c r="M29" s="16">
        <f t="shared" si="0"/>
        <v>1.9620218377029985E-3</v>
      </c>
      <c r="N29">
        <v>-2.7764999999999995E-3</v>
      </c>
      <c r="O29">
        <v>3.3202561862157314E-4</v>
      </c>
      <c r="P29">
        <v>1.7517340658909813E-3</v>
      </c>
      <c r="Q29">
        <v>8.4794871093690407E-3</v>
      </c>
      <c r="R29">
        <v>1.3657181152516028E-2</v>
      </c>
      <c r="S29">
        <v>1.7612976031664535E-2</v>
      </c>
      <c r="T29">
        <v>2.4781183388693288E-2</v>
      </c>
      <c r="U29">
        <v>3.3574975894861803E-2</v>
      </c>
      <c r="V29">
        <v>4.0489699999999997E-2</v>
      </c>
      <c r="X29">
        <f>X28+1</f>
        <v>3</v>
      </c>
      <c r="Y29" s="8" t="s">
        <v>26</v>
      </c>
      <c r="Z29">
        <v>-0.10077517065306237</v>
      </c>
      <c r="AA29">
        <v>-0.18941351180967991</v>
      </c>
      <c r="AB29">
        <v>1</v>
      </c>
      <c r="AC29"/>
      <c r="AD29"/>
      <c r="AE29"/>
      <c r="AF29" s="30"/>
      <c r="AG29"/>
      <c r="AH29"/>
      <c r="AI29"/>
      <c r="AJ29"/>
      <c r="AK29"/>
      <c r="AL29"/>
      <c r="AM29"/>
      <c r="AN29"/>
      <c r="AO29"/>
      <c r="AP29"/>
      <c r="BD29" s="2"/>
    </row>
    <row r="30" spans="1:57" ht="15.75" customHeight="1" x14ac:dyDescent="0.2">
      <c r="A30">
        <f t="shared" si="2"/>
        <v>22</v>
      </c>
      <c r="B30" s="15">
        <v>2.35</v>
      </c>
      <c r="C30" s="16">
        <f t="shared" si="1"/>
        <v>1.937551809032545E-3</v>
      </c>
      <c r="D30">
        <v>-6.3548199999999999E-2</v>
      </c>
      <c r="E30">
        <v>-7.77727E-2</v>
      </c>
      <c r="F30">
        <v>2.35018E-2</v>
      </c>
      <c r="G30">
        <v>1.6522499999999999E-2</v>
      </c>
      <c r="H30">
        <v>1.02813E-2</v>
      </c>
      <c r="I30">
        <v>-6.1269999999999999E-4</v>
      </c>
      <c r="L30">
        <f t="shared" si="3"/>
        <v>22</v>
      </c>
      <c r="M30" s="16">
        <f t="shared" si="0"/>
        <v>1.937551809032545E-3</v>
      </c>
      <c r="N30">
        <v>2.3501799999999993E-2</v>
      </c>
      <c r="O30">
        <v>1.7852391148747249E-2</v>
      </c>
      <c r="P30">
        <v>1.6829213260248176E-2</v>
      </c>
      <c r="Q30">
        <v>5.4161337549231223E-3</v>
      </c>
      <c r="R30">
        <v>-5.7389379496133545E-3</v>
      </c>
      <c r="S30">
        <v>-1.4261491649700165E-2</v>
      </c>
      <c r="T30">
        <v>-2.9705020447327035E-2</v>
      </c>
      <c r="U30">
        <v>-4.8650787644784546E-2</v>
      </c>
      <c r="V30">
        <v>-6.3548199999999999E-2</v>
      </c>
      <c r="X30">
        <f>X29+1</f>
        <v>4</v>
      </c>
      <c r="Y30" s="8" t="s">
        <v>10</v>
      </c>
      <c r="Z30">
        <v>0.46785394647826845</v>
      </c>
      <c r="AA30">
        <v>0.38695003321177007</v>
      </c>
      <c r="AB30">
        <v>0.65015206710636453</v>
      </c>
      <c r="AC30">
        <v>1</v>
      </c>
      <c r="AD30"/>
      <c r="AE30"/>
      <c r="AF30" s="30"/>
      <c r="AG30"/>
      <c r="AH30"/>
      <c r="AI30"/>
      <c r="AJ30"/>
      <c r="AK30"/>
      <c r="AL30"/>
      <c r="AM30"/>
      <c r="AN30"/>
      <c r="AO30"/>
      <c r="AP30"/>
      <c r="BD30" s="2"/>
    </row>
    <row r="31" spans="1:57" ht="15.75" customHeight="1" x14ac:dyDescent="0.2">
      <c r="A31">
        <f t="shared" si="2"/>
        <v>23</v>
      </c>
      <c r="B31" s="15">
        <v>2.17</v>
      </c>
      <c r="C31" s="16">
        <f t="shared" si="1"/>
        <v>1.7905934192179451E-3</v>
      </c>
      <c r="D31">
        <v>7.0476299999999992E-2</v>
      </c>
      <c r="E31">
        <v>7.0677299999999998E-2</v>
      </c>
      <c r="F31">
        <v>9.2269999999999991E-3</v>
      </c>
      <c r="G31">
        <v>8.5745000000000005E-3</v>
      </c>
      <c r="H31">
        <v>2.3220399999999999E-2</v>
      </c>
      <c r="I31">
        <v>1.2583E-2</v>
      </c>
      <c r="L31">
        <f t="shared" si="3"/>
        <v>23</v>
      </c>
      <c r="M31" s="16">
        <f t="shared" si="0"/>
        <v>1.7905934192179451E-3</v>
      </c>
      <c r="N31">
        <v>9.2269999999999974E-3</v>
      </c>
      <c r="O31">
        <v>1.120497385482979E-2</v>
      </c>
      <c r="P31">
        <v>1.1360588841780699E-2</v>
      </c>
      <c r="Q31">
        <v>1.7160712709886387E-2</v>
      </c>
      <c r="R31">
        <v>2.5784579088472759E-2</v>
      </c>
      <c r="S31">
        <v>3.2373274012234304E-2</v>
      </c>
      <c r="T31">
        <v>4.4312500607292665E-2</v>
      </c>
      <c r="U31">
        <v>5.8959270173483229E-2</v>
      </c>
      <c r="V31">
        <v>7.0476299999999992E-2</v>
      </c>
      <c r="X31">
        <f>X30+1</f>
        <v>5</v>
      </c>
      <c r="Y31" s="8" t="s">
        <v>11</v>
      </c>
      <c r="Z31">
        <v>0.64128340442023557</v>
      </c>
      <c r="AA31">
        <v>0.61734827075686349</v>
      </c>
      <c r="AB31">
        <v>0.41978515061775351</v>
      </c>
      <c r="AC31">
        <v>0.76926155685698994</v>
      </c>
      <c r="AD31">
        <v>1</v>
      </c>
      <c r="AE31"/>
      <c r="AF31" s="30"/>
      <c r="AG31"/>
      <c r="AH31"/>
      <c r="AI31"/>
      <c r="AJ31"/>
      <c r="AK31"/>
      <c r="AL31"/>
      <c r="AM31"/>
      <c r="AN31"/>
      <c r="AO31"/>
      <c r="AP31"/>
      <c r="BD31" s="2"/>
    </row>
    <row r="32" spans="1:57" ht="15.75" customHeight="1" x14ac:dyDescent="0.2">
      <c r="A32">
        <f t="shared" si="2"/>
        <v>24</v>
      </c>
      <c r="B32" s="15">
        <v>2.1</v>
      </c>
      <c r="C32" s="16">
        <f t="shared" si="1"/>
        <v>1.73337883251512E-3</v>
      </c>
      <c r="D32">
        <v>1.43721E-2</v>
      </c>
      <c r="E32">
        <v>5.7572999999999999E-3</v>
      </c>
      <c r="F32">
        <v>-1.1754000000000001E-3</v>
      </c>
      <c r="G32">
        <v>3.5537000000000003E-3</v>
      </c>
      <c r="H32">
        <v>6.3441000000000001E-3</v>
      </c>
      <c r="I32">
        <v>1.3878699999999999E-2</v>
      </c>
      <c r="L32">
        <f t="shared" si="3"/>
        <v>24</v>
      </c>
      <c r="M32" s="16">
        <f t="shared" si="0"/>
        <v>1.73337883251512E-3</v>
      </c>
      <c r="N32">
        <v>-1.1753999999999998E-3</v>
      </c>
      <c r="O32">
        <v>4.7256506925179623E-4</v>
      </c>
      <c r="P32">
        <v>1.6197339839780418E-3</v>
      </c>
      <c r="Q32">
        <v>5.0542877628862969E-3</v>
      </c>
      <c r="R32">
        <v>6.5614561494291568E-3</v>
      </c>
      <c r="S32">
        <v>7.7129434593817235E-3</v>
      </c>
      <c r="T32">
        <v>9.7995278397386681E-3</v>
      </c>
      <c r="U32">
        <v>1.2359301737668551E-2</v>
      </c>
      <c r="V32">
        <v>1.43721E-2</v>
      </c>
      <c r="X32">
        <v>6</v>
      </c>
      <c r="Y32" s="8" t="s">
        <v>12</v>
      </c>
      <c r="Z32">
        <v>0.79075537517281813</v>
      </c>
      <c r="AA32">
        <v>0.76213286634610422</v>
      </c>
      <c r="AB32">
        <v>-2.743754236802546E-2</v>
      </c>
      <c r="AC32">
        <v>0.53512001658552089</v>
      </c>
      <c r="AD32">
        <v>0.64452607080603908</v>
      </c>
      <c r="AE32">
        <v>1</v>
      </c>
      <c r="AF32" s="30"/>
      <c r="AG32"/>
      <c r="AH32"/>
      <c r="AI32"/>
      <c r="AJ32"/>
      <c r="AK32"/>
      <c r="AL32"/>
      <c r="AM32"/>
      <c r="AN32"/>
      <c r="AO32"/>
      <c r="AP32"/>
      <c r="BD32" s="2"/>
    </row>
    <row r="33" spans="1:56" ht="15.75" customHeight="1" x14ac:dyDescent="0.2">
      <c r="A33">
        <f t="shared" si="2"/>
        <v>25</v>
      </c>
      <c r="B33" s="15">
        <v>1.95</v>
      </c>
      <c r="C33" s="16">
        <f t="shared" si="1"/>
        <v>1.6106549662961989E-3</v>
      </c>
      <c r="D33">
        <v>-1.5840300000000002E-2</v>
      </c>
      <c r="E33">
        <v>-4.9374200000000007E-2</v>
      </c>
      <c r="F33">
        <v>3.3994099999999999E-2</v>
      </c>
      <c r="G33">
        <v>2.3798499999999997E-2</v>
      </c>
      <c r="H33">
        <v>2.6517499999999999E-2</v>
      </c>
      <c r="I33">
        <v>3.0211399999999999E-2</v>
      </c>
      <c r="L33">
        <f t="shared" si="3"/>
        <v>25</v>
      </c>
      <c r="M33" s="16">
        <f t="shared" si="0"/>
        <v>1.6106549662961989E-3</v>
      </c>
      <c r="N33">
        <v>3.3994099999999992E-2</v>
      </c>
      <c r="O33">
        <v>2.8023291104055072E-2</v>
      </c>
      <c r="P33">
        <v>2.7319641749472878E-2</v>
      </c>
      <c r="Q33">
        <v>1.8300321136628585E-2</v>
      </c>
      <c r="R33">
        <v>1.2778030757229122E-2</v>
      </c>
      <c r="S33">
        <v>8.558961839297833E-3</v>
      </c>
      <c r="T33">
        <v>9.1368148951480321E-4</v>
      </c>
      <c r="U33">
        <v>-8.465373230708435E-3</v>
      </c>
      <c r="V33">
        <v>-1.5840300000000002E-2</v>
      </c>
      <c r="Y33" s="8"/>
      <c r="Z33" s="30"/>
      <c r="AA33" s="30"/>
      <c r="AB33" s="30"/>
      <c r="AC33" s="30"/>
      <c r="AD33" s="30"/>
      <c r="AE33" s="30"/>
      <c r="AF33" s="30"/>
      <c r="AG33"/>
      <c r="AH33"/>
      <c r="AI33"/>
      <c r="AJ33"/>
      <c r="AK33"/>
      <c r="AL33"/>
      <c r="AM33"/>
      <c r="AN33"/>
      <c r="AO33"/>
      <c r="AP33"/>
      <c r="BD33" s="2"/>
    </row>
    <row r="34" spans="1:56" ht="15.75" customHeight="1" x14ac:dyDescent="0.2">
      <c r="A34">
        <f t="shared" si="2"/>
        <v>26</v>
      </c>
      <c r="B34" s="15">
        <v>1.89</v>
      </c>
      <c r="C34" s="16">
        <f t="shared" si="1"/>
        <v>1.5615190697231274E-3</v>
      </c>
      <c r="D34">
        <v>1.8710400000000002E-2</v>
      </c>
      <c r="E34">
        <v>2.0806499999999999E-2</v>
      </c>
      <c r="F34">
        <v>-8.4583999999999996E-3</v>
      </c>
      <c r="G34">
        <v>-1.3612299999999999E-2</v>
      </c>
      <c r="H34">
        <v>-4.8614000000000001E-3</v>
      </c>
      <c r="I34">
        <v>2.83343E-2</v>
      </c>
      <c r="L34">
        <f t="shared" si="3"/>
        <v>26</v>
      </c>
      <c r="M34" s="16">
        <f t="shared" si="0"/>
        <v>1.5615190697231274E-3</v>
      </c>
      <c r="N34">
        <v>-8.4583999999999979E-3</v>
      </c>
      <c r="O34">
        <v>-8.9532276623254855E-3</v>
      </c>
      <c r="P34">
        <v>-9.75159909162354E-3</v>
      </c>
      <c r="Q34">
        <v>-9.1289153882787785E-3</v>
      </c>
      <c r="R34">
        <v>-4.6258695027773236E-3</v>
      </c>
      <c r="S34">
        <v>-1.185510588944976E-3</v>
      </c>
      <c r="T34">
        <v>5.0486867924573881E-3</v>
      </c>
      <c r="U34">
        <v>1.2696657265967172E-2</v>
      </c>
      <c r="V34">
        <v>1.8710400000000002E-2</v>
      </c>
      <c r="Y34" s="8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BD34" s="2"/>
    </row>
    <row r="35" spans="1:56" ht="15.75" customHeight="1" x14ac:dyDescent="0.2">
      <c r="A35">
        <f t="shared" si="2"/>
        <v>27</v>
      </c>
      <c r="B35" s="15">
        <v>1.65</v>
      </c>
      <c r="C35" s="16">
        <f t="shared" si="1"/>
        <v>1.364709877352599E-3</v>
      </c>
      <c r="D35">
        <v>2.16597E-2</v>
      </c>
      <c r="E35">
        <v>2.63363E-2</v>
      </c>
      <c r="F35">
        <v>6.8150000000000003E-4</v>
      </c>
      <c r="G35">
        <v>2.5573000000000002E-3</v>
      </c>
      <c r="H35">
        <v>5.5798000000000002E-3</v>
      </c>
      <c r="I35">
        <v>1.3644700000000001E-2</v>
      </c>
      <c r="L35">
        <f t="shared" si="3"/>
        <v>27</v>
      </c>
      <c r="M35" s="16">
        <f t="shared" si="0"/>
        <v>1.364709877352599E-3</v>
      </c>
      <c r="N35">
        <v>6.8149999999999992E-4</v>
      </c>
      <c r="O35">
        <v>2.1445882312571473E-3</v>
      </c>
      <c r="P35">
        <v>2.3787803674518407E-3</v>
      </c>
      <c r="Q35">
        <v>5.2069365157286825E-3</v>
      </c>
      <c r="R35">
        <v>7.8681926522272717E-3</v>
      </c>
      <c r="S35">
        <v>9.9014111678707994E-3</v>
      </c>
      <c r="T35">
        <v>1.3585760930065806E-2</v>
      </c>
      <c r="U35">
        <v>1.810563678119128E-2</v>
      </c>
      <c r="V35">
        <v>2.16597E-2</v>
      </c>
      <c r="Y35" s="31" t="s">
        <v>29</v>
      </c>
      <c r="Z35" s="32">
        <f>MIN(Z27:AE32)</f>
        <v>-0.18941351180967991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BD35" s="2"/>
    </row>
    <row r="36" spans="1:56" ht="15.75" customHeight="1" x14ac:dyDescent="0.2">
      <c r="A36">
        <f t="shared" si="2"/>
        <v>28</v>
      </c>
      <c r="B36" s="15">
        <v>1.54</v>
      </c>
      <c r="C36" s="16">
        <f t="shared" si="1"/>
        <v>1.2743632726075482E-3</v>
      </c>
      <c r="D36">
        <v>3.6298900000000002E-2</v>
      </c>
      <c r="E36">
        <v>4.1164800000000001E-2</v>
      </c>
      <c r="F36">
        <v>-3.0080000000000003E-3</v>
      </c>
      <c r="G36">
        <v>1.5249999999999999E-3</v>
      </c>
      <c r="H36">
        <v>2.2450999999999999E-3</v>
      </c>
      <c r="I36">
        <v>-1.5051799999999999E-2</v>
      </c>
      <c r="L36">
        <f t="shared" si="3"/>
        <v>28</v>
      </c>
      <c r="M36" s="16">
        <f t="shared" si="0"/>
        <v>1.2743632726075482E-3</v>
      </c>
      <c r="N36">
        <v>-3.0079999999999994E-3</v>
      </c>
      <c r="O36">
        <v>-1.0220923810039522E-4</v>
      </c>
      <c r="P36">
        <v>6.4102986084947492E-4</v>
      </c>
      <c r="Q36">
        <v>6.348383199718235E-3</v>
      </c>
      <c r="R36">
        <v>1.1192918690807747E-2</v>
      </c>
      <c r="S36">
        <v>1.4894178079216348E-2</v>
      </c>
      <c r="T36">
        <v>2.1601147370802376E-2</v>
      </c>
      <c r="U36">
        <v>2.9829103588840531E-2</v>
      </c>
      <c r="V36">
        <v>3.6298900000000002E-2</v>
      </c>
      <c r="Y36" s="33" t="s">
        <v>30</v>
      </c>
      <c r="Z36" s="34">
        <f>MAX(Z28:Z32,AA29:AA32,AB30:AB32,AC31:AC32,AD32)</f>
        <v>0.89372847152756196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BD36" s="2"/>
    </row>
    <row r="37" spans="1:56" ht="15.75" customHeight="1" x14ac:dyDescent="0.2">
      <c r="A37">
        <f t="shared" si="2"/>
        <v>29</v>
      </c>
      <c r="B37" s="15">
        <v>1.54</v>
      </c>
      <c r="C37" s="16">
        <f t="shared" si="1"/>
        <v>1.2743632726075482E-3</v>
      </c>
      <c r="D37">
        <v>3.0182E-2</v>
      </c>
      <c r="E37">
        <v>2.8834499999999999E-2</v>
      </c>
      <c r="F37">
        <v>-5.6130999999999993E-3</v>
      </c>
      <c r="G37">
        <v>3.7913000000000001E-3</v>
      </c>
      <c r="H37">
        <v>5.6713000000000006E-3</v>
      </c>
      <c r="I37">
        <v>-6.2595999999999997E-3</v>
      </c>
      <c r="L37">
        <f t="shared" si="3"/>
        <v>29</v>
      </c>
      <c r="M37" s="16">
        <f t="shared" si="0"/>
        <v>1.2743632726075482E-3</v>
      </c>
      <c r="N37">
        <v>-5.6130999999999985E-3</v>
      </c>
      <c r="O37">
        <v>-1.6057903577331146E-3</v>
      </c>
      <c r="P37">
        <v>1.3917678104018237E-4</v>
      </c>
      <c r="Q37">
        <v>7.4518747128968577E-3</v>
      </c>
      <c r="R37">
        <v>1.1128502378608667E-2</v>
      </c>
      <c r="S37">
        <v>1.3937471925932232E-2</v>
      </c>
      <c r="T37">
        <v>1.9027542768818979E-2</v>
      </c>
      <c r="U37">
        <v>2.5271925025723712E-2</v>
      </c>
      <c r="V37">
        <v>3.0182E-2</v>
      </c>
      <c r="Y37" s="35" t="s">
        <v>31</v>
      </c>
      <c r="Z37" s="36">
        <f>AVERAGE(Z28:Z32,AA29:AA32,AB30:AB32,AC31:AC32,AD32)</f>
        <v>0.48408473367036814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BD37" s="2"/>
    </row>
    <row r="38" spans="1:56" ht="15.75" customHeight="1" x14ac:dyDescent="0.2">
      <c r="A38">
        <f t="shared" si="2"/>
        <v>30</v>
      </c>
      <c r="B38" s="15">
        <v>1.52</v>
      </c>
      <c r="C38" s="16">
        <f t="shared" si="1"/>
        <v>1.2579269787644787E-3</v>
      </c>
      <c r="D38">
        <v>-3.9210000000000004E-4</v>
      </c>
      <c r="E38">
        <v>-3.2071500000000003E-2</v>
      </c>
      <c r="F38">
        <v>2.44382E-2</v>
      </c>
      <c r="G38">
        <v>2.09967E-2</v>
      </c>
      <c r="H38">
        <v>2.0312399999999998E-2</v>
      </c>
      <c r="I38">
        <v>1.1291000000000001E-2</v>
      </c>
      <c r="L38">
        <f t="shared" si="3"/>
        <v>30</v>
      </c>
      <c r="M38" s="16">
        <f t="shared" si="0"/>
        <v>1.2579269787644787E-3</v>
      </c>
      <c r="N38">
        <v>2.4438199999999993E-2</v>
      </c>
      <c r="O38">
        <v>2.142025767502613E-2</v>
      </c>
      <c r="P38">
        <v>2.1866988359963768E-2</v>
      </c>
      <c r="Q38">
        <v>1.802992380917489E-2</v>
      </c>
      <c r="R38">
        <v>1.5050137224644093E-2</v>
      </c>
      <c r="S38">
        <v>1.2773559193224152E-2</v>
      </c>
      <c r="T38">
        <v>8.6482230996633158E-3</v>
      </c>
      <c r="U38">
        <v>3.5873553236481295E-3</v>
      </c>
      <c r="V38">
        <v>-3.9210000000000004E-4</v>
      </c>
      <c r="Y38" s="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BD38" s="2"/>
    </row>
    <row r="39" spans="1:56" ht="15.75" customHeight="1" x14ac:dyDescent="0.2">
      <c r="A39">
        <f t="shared" si="2"/>
        <v>31</v>
      </c>
      <c r="B39" s="15">
        <v>1.52</v>
      </c>
      <c r="C39" s="16">
        <f t="shared" si="1"/>
        <v>1.2579269787644787E-3</v>
      </c>
      <c r="D39">
        <v>-8.2319200000000009E-2</v>
      </c>
      <c r="E39">
        <v>-8.4182199999999999E-2</v>
      </c>
      <c r="F39">
        <v>2.6505399999999998E-2</v>
      </c>
      <c r="G39">
        <v>1.3840600000000002E-2</v>
      </c>
      <c r="H39">
        <v>8.8783000000000004E-3</v>
      </c>
      <c r="I39">
        <v>-7.9273700000000002E-2</v>
      </c>
      <c r="L39">
        <f t="shared" si="3"/>
        <v>31</v>
      </c>
      <c r="M39" s="16">
        <f t="shared" si="0"/>
        <v>1.2579269787644787E-3</v>
      </c>
      <c r="N39">
        <v>2.6505399999999991E-2</v>
      </c>
      <c r="O39">
        <v>1.8836639143194528E-2</v>
      </c>
      <c r="P39">
        <v>1.6349890337272084E-2</v>
      </c>
      <c r="Q39">
        <v>5.0256302950587965E-4</v>
      </c>
      <c r="R39">
        <v>-1.2893966089059173E-2</v>
      </c>
      <c r="S39">
        <v>-2.3129009110908705E-2</v>
      </c>
      <c r="T39">
        <v>-4.1675701477455286E-2</v>
      </c>
      <c r="U39">
        <v>-6.4428358623628293E-2</v>
      </c>
      <c r="V39">
        <v>-8.2319200000000009E-2</v>
      </c>
      <c r="Y39" s="8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BD39" s="2"/>
    </row>
    <row r="40" spans="1:56" ht="15.75" customHeight="1" x14ac:dyDescent="0.2">
      <c r="A40">
        <f t="shared" si="2"/>
        <v>32</v>
      </c>
      <c r="B40" s="15">
        <v>0.28999999999999998</v>
      </c>
      <c r="C40" s="16">
        <f t="shared" si="1"/>
        <v>2.4134604527370485E-4</v>
      </c>
      <c r="D40">
        <v>-0.12351290000000001</v>
      </c>
      <c r="E40">
        <v>-0.21726479999999998</v>
      </c>
      <c r="F40">
        <v>2.8923199999999996E-2</v>
      </c>
      <c r="G40">
        <v>-1.7581199999999998E-2</v>
      </c>
      <c r="H40">
        <v>-8.0808199999999997E-2</v>
      </c>
      <c r="I40">
        <v>-0.21714420000000001</v>
      </c>
      <c r="L40">
        <f t="shared" si="3"/>
        <v>32</v>
      </c>
      <c r="M40" s="16">
        <f t="shared" si="0"/>
        <v>2.4134604527370485E-4</v>
      </c>
      <c r="N40">
        <v>2.8923199999999989E-2</v>
      </c>
      <c r="O40">
        <v>6.4269390113763066E-3</v>
      </c>
      <c r="P40">
        <v>1.454776129526672E-3</v>
      </c>
      <c r="Q40">
        <v>-3.2274667862321804E-2</v>
      </c>
      <c r="R40">
        <v>-4.7032571930644501E-2</v>
      </c>
      <c r="S40">
        <v>-5.8307715045310488E-2</v>
      </c>
      <c r="T40">
        <v>-7.8739149509247625E-2</v>
      </c>
      <c r="U40">
        <v>-0.10380396506638538</v>
      </c>
      <c r="V40">
        <v>-0.12351290000000001</v>
      </c>
      <c r="Y40" s="37" t="s">
        <v>63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BD40" s="2"/>
    </row>
    <row r="41" spans="1:56" ht="15.75" customHeight="1" x14ac:dyDescent="0.2">
      <c r="A41">
        <f t="shared" si="2"/>
        <v>33</v>
      </c>
      <c r="B41" s="15">
        <v>0.14000000000000001</v>
      </c>
      <c r="C41" s="16">
        <f t="shared" si="1"/>
        <v>1.1659187244639213E-4</v>
      </c>
      <c r="D41">
        <v>0.1281938</v>
      </c>
      <c r="E41">
        <v>0.13735429999999998</v>
      </c>
      <c r="F41">
        <v>6.3600000000000002E-3</v>
      </c>
      <c r="G41">
        <v>2.7815599999999999E-2</v>
      </c>
      <c r="H41">
        <v>5.0748100000000004E-2</v>
      </c>
      <c r="I41">
        <v>8.2169000000000006E-2</v>
      </c>
      <c r="L41">
        <f t="shared" si="3"/>
        <v>33</v>
      </c>
      <c r="M41" s="16">
        <f t="shared" si="0"/>
        <v>1.1659187244639213E-4</v>
      </c>
      <c r="N41">
        <v>6.3599999999999985E-3</v>
      </c>
      <c r="O41">
        <v>1.7354319109815074E-2</v>
      </c>
      <c r="P41">
        <v>2.1079789075351407E-2</v>
      </c>
      <c r="Q41">
        <v>4.1738758561391073E-2</v>
      </c>
      <c r="R41">
        <v>5.5722975242053323E-2</v>
      </c>
      <c r="S41">
        <v>6.6407015719007478E-2</v>
      </c>
      <c r="T41">
        <v>8.5767326323934759E-2</v>
      </c>
      <c r="U41">
        <v>0.10951811167862542</v>
      </c>
      <c r="V41">
        <v>0.1281938</v>
      </c>
    </row>
    <row r="42" spans="1:56" x14ac:dyDescent="0.2">
      <c r="A42">
        <f t="shared" si="2"/>
        <v>34</v>
      </c>
      <c r="B42" s="15">
        <v>0.13</v>
      </c>
      <c r="C42" s="16">
        <f t="shared" si="1"/>
        <v>1.0826883828274347E-4</v>
      </c>
      <c r="D42">
        <v>4.76281E-2</v>
      </c>
      <c r="E42">
        <v>6.5074699999999999E-2</v>
      </c>
      <c r="F42">
        <v>-2.5344E-3</v>
      </c>
      <c r="G42">
        <v>3.0048000000000002E-3</v>
      </c>
      <c r="H42">
        <v>2.13974E-2</v>
      </c>
      <c r="I42">
        <v>1.6012999999999999E-3</v>
      </c>
      <c r="L42">
        <f t="shared" si="3"/>
        <v>34</v>
      </c>
      <c r="M42" s="16">
        <f t="shared" si="0"/>
        <v>1.0826883828274347E-4</v>
      </c>
      <c r="N42">
        <v>-2.5343999999999996E-3</v>
      </c>
      <c r="O42">
        <v>1.4980979897543441E-3</v>
      </c>
      <c r="P42">
        <v>2.0092799493036514E-3</v>
      </c>
      <c r="Q42">
        <v>9.1943638837170046E-3</v>
      </c>
      <c r="R42">
        <v>1.541107125848758E-2</v>
      </c>
      <c r="S42">
        <v>2.0160679673614259E-2</v>
      </c>
      <c r="T42">
        <v>2.8767338771076168E-2</v>
      </c>
      <c r="U42">
        <v>3.9325790906280501E-2</v>
      </c>
      <c r="V42">
        <v>4.76281E-2</v>
      </c>
      <c r="AF42" s="8"/>
      <c r="AG42" s="8"/>
    </row>
    <row r="43" spans="1:56" x14ac:dyDescent="0.2">
      <c r="A43">
        <f t="shared" si="2"/>
        <v>35</v>
      </c>
      <c r="B43" s="15">
        <v>0.16</v>
      </c>
      <c r="C43" s="16">
        <f t="shared" si="1"/>
        <v>1.3323565538980731E-4</v>
      </c>
      <c r="D43">
        <v>1.9887200000000001E-2</v>
      </c>
      <c r="E43">
        <v>3.5347499999999997E-2</v>
      </c>
      <c r="F43">
        <v>9.3789999999999998E-4</v>
      </c>
      <c r="G43">
        <v>1.1162499999999999E-2</v>
      </c>
      <c r="H43">
        <v>1.8687200000000001E-2</v>
      </c>
      <c r="I43">
        <v>3.03988E-2</v>
      </c>
      <c r="L43">
        <f t="shared" si="3"/>
        <v>35</v>
      </c>
      <c r="M43" s="16">
        <f t="shared" si="0"/>
        <v>1.3323565538980731E-4</v>
      </c>
      <c r="N43">
        <v>9.3789999999999976E-4</v>
      </c>
      <c r="O43">
        <v>5.1871943122444395E-3</v>
      </c>
      <c r="P43">
        <v>6.398359191418004E-3</v>
      </c>
      <c r="Q43">
        <v>1.2372676925872038E-2</v>
      </c>
      <c r="R43">
        <v>1.3588160918150977E-2</v>
      </c>
      <c r="S43">
        <v>1.4516799287331558E-2</v>
      </c>
      <c r="T43">
        <v>1.6199564090195219E-2</v>
      </c>
      <c r="U43">
        <v>1.826394138510656E-2</v>
      </c>
      <c r="V43">
        <v>1.9887200000000001E-2</v>
      </c>
      <c r="Y43" s="4" t="s">
        <v>33</v>
      </c>
    </row>
    <row r="44" spans="1:56" x14ac:dyDescent="0.2">
      <c r="A44">
        <f t="shared" si="2"/>
        <v>36</v>
      </c>
      <c r="B44" s="15">
        <v>0.13</v>
      </c>
      <c r="C44" s="16">
        <f t="shared" si="1"/>
        <v>1.0826883828274347E-4</v>
      </c>
      <c r="D44">
        <v>5.63851E-2</v>
      </c>
      <c r="E44">
        <v>2.7678299999999999E-2</v>
      </c>
      <c r="F44">
        <v>1.14263E-2</v>
      </c>
      <c r="G44">
        <v>2.2977500000000001E-2</v>
      </c>
      <c r="H44">
        <v>3.3825000000000001E-2</v>
      </c>
      <c r="I44">
        <v>4.1199599999999996E-2</v>
      </c>
      <c r="L44">
        <f t="shared" si="3"/>
        <v>36</v>
      </c>
      <c r="M44" s="16">
        <f t="shared" si="0"/>
        <v>1.0826883828274347E-4</v>
      </c>
      <c r="N44">
        <v>1.1426299999999999E-2</v>
      </c>
      <c r="O44">
        <v>1.5427495788780226E-2</v>
      </c>
      <c r="P44">
        <v>1.8531126767637063E-2</v>
      </c>
      <c r="Q44">
        <v>2.7611367831416864E-2</v>
      </c>
      <c r="R44">
        <v>3.2265556860318484E-2</v>
      </c>
      <c r="S44">
        <v>3.5821390204987882E-2</v>
      </c>
      <c r="T44">
        <v>4.2264836217819041E-2</v>
      </c>
      <c r="U44">
        <v>5.0169508116850538E-2</v>
      </c>
      <c r="V44">
        <v>5.63851E-2</v>
      </c>
      <c r="Y44" s="4"/>
    </row>
    <row r="45" spans="1:56" x14ac:dyDescent="0.2">
      <c r="A45">
        <f t="shared" si="2"/>
        <v>37</v>
      </c>
      <c r="B45" s="15">
        <v>0.1</v>
      </c>
      <c r="C45" s="16">
        <f t="shared" si="1"/>
        <v>8.3295163273211514E-5</v>
      </c>
      <c r="D45">
        <v>7.18805E-2</v>
      </c>
      <c r="E45">
        <v>5.6343400000000002E-2</v>
      </c>
      <c r="F45">
        <v>-1.0953599999999999E-2</v>
      </c>
      <c r="G45">
        <v>1.09246E-2</v>
      </c>
      <c r="H45">
        <v>-8.4542000000000003E-3</v>
      </c>
      <c r="I45">
        <v>7.8715E-3</v>
      </c>
      <c r="L45">
        <f t="shared" si="3"/>
        <v>37</v>
      </c>
      <c r="M45" s="16">
        <f t="shared" si="0"/>
        <v>8.3295163273211514E-5</v>
      </c>
      <c r="N45">
        <v>-1.0953599999999997E-2</v>
      </c>
      <c r="O45">
        <v>-2.084864033592856E-3</v>
      </c>
      <c r="P45">
        <v>2.4109361962241149E-3</v>
      </c>
      <c r="Q45">
        <v>1.9379609762600822E-2</v>
      </c>
      <c r="R45">
        <v>2.7871697821210961E-2</v>
      </c>
      <c r="S45">
        <v>3.4359713176229982E-2</v>
      </c>
      <c r="T45">
        <v>4.6116500578304208E-2</v>
      </c>
      <c r="U45">
        <v>6.0539457923644006E-2</v>
      </c>
      <c r="V45">
        <v>7.18805E-2</v>
      </c>
      <c r="Z45" s="2" t="s">
        <v>34</v>
      </c>
      <c r="AA45" s="2" t="s">
        <v>35</v>
      </c>
      <c r="AB45" s="2" t="s">
        <v>15</v>
      </c>
      <c r="AC45" s="2" t="s">
        <v>16</v>
      </c>
      <c r="AD45" s="2" t="s">
        <v>36</v>
      </c>
      <c r="AE45" s="40" t="s">
        <v>18</v>
      </c>
      <c r="AF45" s="2" t="s">
        <v>19</v>
      </c>
      <c r="AG45" s="2" t="s">
        <v>20</v>
      </c>
      <c r="AH45" s="2" t="s">
        <v>37</v>
      </c>
      <c r="AP45"/>
    </row>
    <row r="46" spans="1:56" x14ac:dyDescent="0.2">
      <c r="A46">
        <f t="shared" si="2"/>
        <v>38</v>
      </c>
      <c r="B46" s="15">
        <v>0.11</v>
      </c>
      <c r="C46" s="16">
        <f t="shared" si="1"/>
        <v>9.1620483841925449E-5</v>
      </c>
      <c r="D46">
        <v>-3.7996700000000001E-2</v>
      </c>
      <c r="E46">
        <v>-3.3403299999999997E-2</v>
      </c>
      <c r="F46">
        <v>1.3886E-3</v>
      </c>
      <c r="G46">
        <v>-3.6875999999999996E-3</v>
      </c>
      <c r="H46">
        <v>-3.8005999999999999E-3</v>
      </c>
      <c r="I46">
        <v>-3.1959800000000003E-2</v>
      </c>
      <c r="L46">
        <f t="shared" si="3"/>
        <v>38</v>
      </c>
      <c r="M46" s="16">
        <f t="shared" si="0"/>
        <v>9.1620483841925449E-5</v>
      </c>
      <c r="N46">
        <v>1.3885999999999998E-3</v>
      </c>
      <c r="O46">
        <v>-1.3468359050455723E-3</v>
      </c>
      <c r="P46">
        <v>-2.5136358867281611E-3</v>
      </c>
      <c r="Q46">
        <v>-8.4465121880908638E-3</v>
      </c>
      <c r="R46">
        <v>-1.3226293938695172E-2</v>
      </c>
      <c r="S46">
        <v>-1.6878081011265395E-2</v>
      </c>
      <c r="T46">
        <v>-2.3495402626671033E-2</v>
      </c>
      <c r="U46">
        <v>-3.1613381130097248E-2</v>
      </c>
      <c r="V46">
        <v>-3.7996700000000001E-2</v>
      </c>
      <c r="Y46" s="2" t="s">
        <v>38</v>
      </c>
      <c r="AP46"/>
    </row>
    <row r="47" spans="1:56" x14ac:dyDescent="0.2">
      <c r="A47">
        <f t="shared" si="2"/>
        <v>39</v>
      </c>
      <c r="B47" s="15">
        <v>0.1</v>
      </c>
      <c r="C47" s="16">
        <f t="shared" si="1"/>
        <v>8.3295163273211514E-5</v>
      </c>
      <c r="D47">
        <v>-2.6593800000000001E-2</v>
      </c>
      <c r="E47">
        <v>2.0943900000000001E-2</v>
      </c>
      <c r="F47">
        <v>-9.4293999999999992E-3</v>
      </c>
      <c r="G47">
        <v>-6.4583999999999996E-3</v>
      </c>
      <c r="H47">
        <v>-7.6869999999999998E-4</v>
      </c>
      <c r="I47">
        <v>-2.5039799999999997E-2</v>
      </c>
      <c r="L47">
        <f t="shared" si="3"/>
        <v>39</v>
      </c>
      <c r="M47" s="16">
        <f t="shared" si="0"/>
        <v>8.3295163273211514E-5</v>
      </c>
      <c r="N47">
        <v>-9.4293999999999975E-3</v>
      </c>
      <c r="O47">
        <v>-7.4746565576905809E-3</v>
      </c>
      <c r="P47">
        <v>-8.7436454883521846E-3</v>
      </c>
      <c r="Q47">
        <v>-9.2513208423445903E-3</v>
      </c>
      <c r="R47">
        <v>-1.2056489659396567E-2</v>
      </c>
      <c r="S47">
        <v>-1.4199658481109479E-2</v>
      </c>
      <c r="T47">
        <v>-1.8083246731889553E-2</v>
      </c>
      <c r="U47">
        <v>-2.2847543794706365E-2</v>
      </c>
      <c r="V47">
        <v>-2.6593800000000001E-2</v>
      </c>
      <c r="X47">
        <v>1</v>
      </c>
      <c r="Y47" s="8" t="s">
        <v>7</v>
      </c>
      <c r="Z47" s="2">
        <v>0</v>
      </c>
      <c r="AA47" s="2">
        <v>0</v>
      </c>
      <c r="AB47" s="2">
        <v>3.9739250401255324E-2</v>
      </c>
      <c r="AC47" s="2">
        <v>0.13870699575596165</v>
      </c>
      <c r="AD47" s="2">
        <v>0.27802227218712156</v>
      </c>
      <c r="AE47" s="2">
        <v>0.38446012898226395</v>
      </c>
      <c r="AF47" s="2">
        <v>0.57733378685745274</v>
      </c>
      <c r="AG47" s="2">
        <v>0.81394677010172944</v>
      </c>
      <c r="AH47" s="2">
        <v>1</v>
      </c>
      <c r="AP47"/>
    </row>
    <row r="48" spans="1:56" x14ac:dyDescent="0.2">
      <c r="A48">
        <f t="shared" si="2"/>
        <v>40</v>
      </c>
      <c r="B48" s="15">
        <v>0.09</v>
      </c>
      <c r="C48" s="16">
        <f t="shared" si="1"/>
        <v>7.4969080277487166E-5</v>
      </c>
      <c r="D48">
        <v>0.10946400000000001</v>
      </c>
      <c r="E48">
        <v>0.18432480000000001</v>
      </c>
      <c r="F48">
        <v>3.4813000000000001E-3</v>
      </c>
      <c r="G48">
        <v>1.12131E-2</v>
      </c>
      <c r="H48">
        <v>2.8641299999999998E-2</v>
      </c>
      <c r="I48">
        <v>0.10790079999999999</v>
      </c>
      <c r="L48">
        <f t="shared" si="3"/>
        <v>40</v>
      </c>
      <c r="M48" s="16">
        <f t="shared" si="0"/>
        <v>7.4969080277487166E-5</v>
      </c>
      <c r="N48">
        <v>3.4812999999999992E-3</v>
      </c>
      <c r="O48">
        <v>1.2165786317801705E-2</v>
      </c>
      <c r="P48">
        <v>1.1252710692467697E-2</v>
      </c>
      <c r="Q48">
        <v>2.4841187169319413E-2</v>
      </c>
      <c r="R48">
        <v>3.8529038462429659E-2</v>
      </c>
      <c r="S48">
        <v>4.898665368662352E-2</v>
      </c>
      <c r="T48">
        <v>6.7936664159152907E-2</v>
      </c>
      <c r="U48">
        <v>9.1184102714588017E-2</v>
      </c>
      <c r="V48">
        <v>0.10946400000000001</v>
      </c>
      <c r="X48">
        <v>2</v>
      </c>
      <c r="Y48" s="8" t="s">
        <v>8</v>
      </c>
      <c r="Z48" s="2">
        <v>0</v>
      </c>
      <c r="AA48" s="2">
        <v>3.5338315171508428E-2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P48"/>
    </row>
    <row r="49" spans="1:42" x14ac:dyDescent="0.2">
      <c r="A49">
        <f t="shared" si="2"/>
        <v>41</v>
      </c>
      <c r="B49" s="15">
        <v>0.09</v>
      </c>
      <c r="C49" s="16">
        <f t="shared" si="1"/>
        <v>7.4969080277487166E-5</v>
      </c>
      <c r="D49">
        <v>3.8448200000000002E-2</v>
      </c>
      <c r="E49">
        <v>8.6500400000000005E-2</v>
      </c>
      <c r="F49">
        <v>-2.3166999999999997E-3</v>
      </c>
      <c r="G49">
        <v>1.1472100000000001E-2</v>
      </c>
      <c r="H49">
        <v>7.0279000000000001E-3</v>
      </c>
      <c r="I49">
        <v>3.4319999999999996E-2</v>
      </c>
      <c r="L49">
        <f t="shared" si="3"/>
        <v>41</v>
      </c>
      <c r="M49" s="16">
        <f t="shared" si="0"/>
        <v>7.4969080277487166E-5</v>
      </c>
      <c r="N49">
        <v>-2.3166999999999992E-3</v>
      </c>
      <c r="O49">
        <v>4.9126496593439213E-3</v>
      </c>
      <c r="P49">
        <v>5.6516602617655435E-3</v>
      </c>
      <c r="Q49">
        <v>1.5213873788212397E-2</v>
      </c>
      <c r="R49">
        <v>1.8972056616747009E-2</v>
      </c>
      <c r="S49">
        <v>2.1843334885438451E-2</v>
      </c>
      <c r="T49">
        <v>2.7046313967645334E-2</v>
      </c>
      <c r="U49">
        <v>3.3429209464941267E-2</v>
      </c>
      <c r="V49">
        <v>3.8448200000000002E-2</v>
      </c>
      <c r="X49">
        <v>3</v>
      </c>
      <c r="Y49" s="8" t="s">
        <v>26</v>
      </c>
      <c r="Z49" s="2">
        <v>0.99999999999999978</v>
      </c>
      <c r="AA49" s="2">
        <v>0.6679931576959971</v>
      </c>
      <c r="AB49" s="2">
        <v>0.49985856136746903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P49"/>
    </row>
    <row r="50" spans="1:42" x14ac:dyDescent="0.2">
      <c r="A50">
        <f t="shared" si="2"/>
        <v>42</v>
      </c>
      <c r="B50" s="15">
        <v>0.08</v>
      </c>
      <c r="C50" s="16">
        <f t="shared" si="1"/>
        <v>6.6642234708869097E-5</v>
      </c>
      <c r="D50">
        <v>-1.0095799999999999E-2</v>
      </c>
      <c r="E50">
        <v>5.03223E-2</v>
      </c>
      <c r="F50">
        <v>-9.5645999999999995E-3</v>
      </c>
      <c r="G50">
        <v>3.3068999999999998E-3</v>
      </c>
      <c r="H50">
        <v>-9.747200000000001E-3</v>
      </c>
      <c r="I50">
        <v>1.7868000000000001E-3</v>
      </c>
      <c r="L50">
        <f t="shared" si="3"/>
        <v>42</v>
      </c>
      <c r="M50" s="16">
        <f t="shared" si="0"/>
        <v>6.6642234708869097E-5</v>
      </c>
      <c r="N50">
        <v>-9.5645999999999978E-3</v>
      </c>
      <c r="O50">
        <v>-3.6297289061694893E-3</v>
      </c>
      <c r="P50">
        <v>-3.6596427239942832E-3</v>
      </c>
      <c r="Q50">
        <v>1.4478517479815729E-3</v>
      </c>
      <c r="R50">
        <v>-4.1934910744233439E-4</v>
      </c>
      <c r="S50">
        <v>-1.845903770710589E-3</v>
      </c>
      <c r="T50">
        <v>-4.4309315451143806E-3</v>
      </c>
      <c r="U50">
        <v>-7.6021843756424474E-3</v>
      </c>
      <c r="V50">
        <v>-1.0095799999999999E-2</v>
      </c>
      <c r="X50">
        <v>4</v>
      </c>
      <c r="Y50" s="8" t="s">
        <v>10</v>
      </c>
      <c r="Z50" s="2">
        <v>0</v>
      </c>
      <c r="AA50" s="2">
        <v>0.29666852713249448</v>
      </c>
      <c r="AB50" s="2">
        <v>0.46040218823127532</v>
      </c>
      <c r="AC50" s="2">
        <v>0.86129300424403843</v>
      </c>
      <c r="AD50" s="2">
        <v>0.72197772781287839</v>
      </c>
      <c r="AE50" s="2">
        <v>0.615539871017736</v>
      </c>
      <c r="AF50" s="2">
        <v>0.42266621314254738</v>
      </c>
      <c r="AG50" s="2">
        <v>0.18605322989827058</v>
      </c>
      <c r="AH50" s="2">
        <v>0</v>
      </c>
      <c r="AP50"/>
    </row>
    <row r="51" spans="1:42" x14ac:dyDescent="0.2">
      <c r="A51">
        <f t="shared" si="2"/>
        <v>43</v>
      </c>
      <c r="B51" s="15">
        <v>0.04</v>
      </c>
      <c r="C51" s="16">
        <f t="shared" si="1"/>
        <v>3.3327223783574667E-5</v>
      </c>
      <c r="D51">
        <v>2.7574900000000003E-2</v>
      </c>
      <c r="E51">
        <v>6.2325100000000001E-2</v>
      </c>
      <c r="F51">
        <v>-1.8146599999999999E-2</v>
      </c>
      <c r="G51">
        <v>-1.6109100000000001E-2</v>
      </c>
      <c r="H51">
        <v>-1.5998499999999999E-2</v>
      </c>
      <c r="I51">
        <v>4.0212700000000004E-2</v>
      </c>
      <c r="L51">
        <f t="shared" si="3"/>
        <v>43</v>
      </c>
      <c r="M51" s="16">
        <f t="shared" si="0"/>
        <v>3.3327223783574667E-5</v>
      </c>
      <c r="N51">
        <v>-1.8146599999999995E-2</v>
      </c>
      <c r="O51">
        <v>-1.4698403578980467E-2</v>
      </c>
      <c r="P51">
        <v>-1.5391592404257774E-2</v>
      </c>
      <c r="Q51">
        <v>-1.0049823597396574E-2</v>
      </c>
      <c r="R51">
        <v>-3.9639750617777806E-3</v>
      </c>
      <c r="S51">
        <v>6.8565627446122088E-4</v>
      </c>
      <c r="T51">
        <v>9.1111491450809635E-3</v>
      </c>
      <c r="U51">
        <v>1.9447350705123951E-2</v>
      </c>
      <c r="V51">
        <v>2.7574900000000003E-2</v>
      </c>
      <c r="X51">
        <v>5</v>
      </c>
      <c r="Y51" s="8" t="s">
        <v>11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P51"/>
    </row>
    <row r="52" spans="1:42" x14ac:dyDescent="0.2">
      <c r="A52">
        <f t="shared" si="2"/>
        <v>44</v>
      </c>
      <c r="B52" s="15">
        <v>0.03</v>
      </c>
      <c r="C52" s="16">
        <f t="shared" si="1"/>
        <v>2.4996563158685703E-5</v>
      </c>
      <c r="D52">
        <v>4.37957E-2</v>
      </c>
      <c r="E52">
        <v>1.0043699999999999E-2</v>
      </c>
      <c r="F52">
        <v>-1.5413399999999999E-2</v>
      </c>
      <c r="G52">
        <v>-1.8908E-3</v>
      </c>
      <c r="H52">
        <v>-1.14109E-2</v>
      </c>
      <c r="I52">
        <v>4.3988800000000002E-2</v>
      </c>
      <c r="L52">
        <f t="shared" si="3"/>
        <v>44</v>
      </c>
      <c r="M52" s="16">
        <f t="shared" si="0"/>
        <v>2.4996563158685703E-5</v>
      </c>
      <c r="N52">
        <v>-1.5413399999999996E-2</v>
      </c>
      <c r="O52">
        <v>-1.0502059151845523E-2</v>
      </c>
      <c r="P52">
        <v>-6.8346401184907844E-3</v>
      </c>
      <c r="Q52">
        <v>4.4462371616047422E-3</v>
      </c>
      <c r="R52">
        <v>1.081106453827693E-2</v>
      </c>
      <c r="S52">
        <v>1.5673837682748201E-2</v>
      </c>
      <c r="T52">
        <v>2.4485560053263015E-2</v>
      </c>
      <c r="U52">
        <v>3.5295579112252666E-2</v>
      </c>
      <c r="V52">
        <v>4.37957E-2</v>
      </c>
      <c r="X52">
        <v>6</v>
      </c>
      <c r="Y52" s="8" t="s">
        <v>12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P52"/>
    </row>
    <row r="53" spans="1:42" x14ac:dyDescent="0.2">
      <c r="A53">
        <f t="shared" si="2"/>
        <v>45</v>
      </c>
      <c r="B53" s="15">
        <v>0.02</v>
      </c>
      <c r="C53" s="16">
        <f t="shared" si="1"/>
        <v>1.6665139084048874E-5</v>
      </c>
      <c r="D53">
        <v>5.3368800000000001E-2</v>
      </c>
      <c r="E53">
        <v>2.0998899999999997E-2</v>
      </c>
      <c r="F53">
        <v>7.4982E-3</v>
      </c>
      <c r="G53">
        <v>1.3994400000000001E-2</v>
      </c>
      <c r="H53">
        <v>1.1752400000000001E-2</v>
      </c>
      <c r="I53">
        <v>8.0441600000000002E-2</v>
      </c>
      <c r="L53">
        <f t="shared" si="3"/>
        <v>45</v>
      </c>
      <c r="M53" s="16">
        <f t="shared" si="0"/>
        <v>1.6665139084048874E-5</v>
      </c>
      <c r="N53">
        <v>7.4981999999999983E-3</v>
      </c>
      <c r="O53">
        <v>9.9025100775940941E-3</v>
      </c>
      <c r="P53">
        <v>1.2311927954643831E-2</v>
      </c>
      <c r="Q53">
        <v>1.945590473369354E-2</v>
      </c>
      <c r="R53">
        <v>2.4941360154004596E-2</v>
      </c>
      <c r="S53">
        <v>2.9132286902599253E-2</v>
      </c>
      <c r="T53">
        <v>3.6726571457240093E-2</v>
      </c>
      <c r="U53">
        <v>4.6043065704693534E-2</v>
      </c>
      <c r="V53">
        <v>5.3368800000000001E-2</v>
      </c>
      <c r="Y53" s="8"/>
      <c r="AP53"/>
    </row>
    <row r="54" spans="1:42" x14ac:dyDescent="0.2">
      <c r="A54">
        <f t="shared" si="2"/>
        <v>46</v>
      </c>
      <c r="B54" s="15">
        <v>0.02</v>
      </c>
      <c r="C54" s="16">
        <f t="shared" si="1"/>
        <v>1.6665139084048874E-5</v>
      </c>
      <c r="D54">
        <v>6.9843999999999991E-3</v>
      </c>
      <c r="E54">
        <v>2.0617000000000001E-3</v>
      </c>
      <c r="F54">
        <v>3.4494999999999999E-3</v>
      </c>
      <c r="G54">
        <v>1.21116E-2</v>
      </c>
      <c r="H54">
        <v>6.3566999999999999E-3</v>
      </c>
      <c r="I54">
        <v>9.1304000000000003E-3</v>
      </c>
      <c r="L54">
        <f t="shared" si="3"/>
        <v>46</v>
      </c>
      <c r="M54" s="16">
        <f t="shared" si="0"/>
        <v>1.6665139084048874E-5</v>
      </c>
      <c r="N54">
        <v>3.449499999999999E-3</v>
      </c>
      <c r="O54">
        <v>5.9702299350793617E-3</v>
      </c>
      <c r="P54">
        <v>7.5780240709215265E-3</v>
      </c>
      <c r="Q54">
        <v>1.1400421491360033E-2</v>
      </c>
      <c r="R54">
        <v>1.068612420604219E-2</v>
      </c>
      <c r="S54">
        <v>1.0140396026682135E-2</v>
      </c>
      <c r="T54">
        <v>9.1514942080244688E-3</v>
      </c>
      <c r="U54">
        <v>7.9383321203344119E-3</v>
      </c>
      <c r="V54">
        <v>6.9843999999999991E-3</v>
      </c>
      <c r="AP54"/>
    </row>
    <row r="55" spans="1:42" x14ac:dyDescent="0.2">
      <c r="A55">
        <f t="shared" si="2"/>
        <v>47</v>
      </c>
      <c r="B55" s="15">
        <v>0.04</v>
      </c>
      <c r="C55" s="16">
        <f t="shared" si="1"/>
        <v>3.3327223783574667E-5</v>
      </c>
      <c r="D55">
        <v>2.3344800000000002E-2</v>
      </c>
      <c r="E55">
        <v>1.9374499999999999E-2</v>
      </c>
      <c r="F55">
        <v>6.4263999999999996E-3</v>
      </c>
      <c r="G55">
        <v>6.0568999999999996E-3</v>
      </c>
      <c r="H55">
        <v>1.6168800000000001E-2</v>
      </c>
      <c r="I55">
        <v>2.5900500000000003E-2</v>
      </c>
      <c r="L55">
        <f t="shared" si="3"/>
        <v>47</v>
      </c>
      <c r="M55" s="16">
        <f t="shared" si="0"/>
        <v>3.3327223783574667E-5</v>
      </c>
      <c r="N55">
        <v>6.4263999999999979E-3</v>
      </c>
      <c r="O55">
        <v>6.7743450178967511E-3</v>
      </c>
      <c r="P55">
        <v>6.9286059254371393E-3</v>
      </c>
      <c r="Q55">
        <v>8.45485267192949E-3</v>
      </c>
      <c r="R55">
        <v>1.0863321239343738E-2</v>
      </c>
      <c r="S55">
        <v>1.2703408263832481E-2</v>
      </c>
      <c r="T55">
        <v>1.6037788773812959E-2</v>
      </c>
      <c r="U55">
        <v>2.0128330366841689E-2</v>
      </c>
      <c r="V55">
        <v>2.3344800000000002E-2</v>
      </c>
      <c r="Y55" s="2" t="s">
        <v>39</v>
      </c>
      <c r="Z55" s="42">
        <f t="array" ref="Z55">SQRT(MMULT(TRANSPOSE(Z47:Z52),MMULT($Z$17:$AE$22,Z47:Z52)))</f>
        <v>1.2930965415719803E-2</v>
      </c>
      <c r="AA55" s="42">
        <f t="array" ref="AA55">SQRT(MMULT(TRANSPOSE(AA47:AA52),MMULT($Z$17:$AE$22,AA47:AA52)))</f>
        <v>1.1806436851145661E-2</v>
      </c>
      <c r="AB55" s="42">
        <f t="array" ref="AB55">SQRT(MMULT(TRANSPOSE(AB47:AB52),MMULT($Z$17:$AE$22,AB47:AB52)))</f>
        <v>1.1989016354546883E-2</v>
      </c>
      <c r="AC55" s="42">
        <f t="array" ref="AC55">SQRT(MMULT(TRANSPOSE(AC47:AC52),MMULT($Z$17:$AE$22,AC47:AC52)))</f>
        <v>1.591520494066595E-2</v>
      </c>
      <c r="AD55" s="42">
        <f t="array" ref="AD55">SQRT(MMULT(TRANSPOSE(AD47:AD52),MMULT($Z$17:$AE$22,AD47:AD52)))</f>
        <v>2.0182295127746452E-2</v>
      </c>
      <c r="AE55" s="42">
        <f t="array" ref="AE55">SQRT(MMULT(TRANSPOSE(AE47:AE52),MMULT($Z$17:$AE$22,AE47:AE52)))</f>
        <v>2.4038839235177616E-2</v>
      </c>
      <c r="AF55" s="42">
        <f t="array" ref="AF55">SQRT(MMULT(TRANSPOSE(AF47:AF52),MMULT($Z$17:$AE$22,AF47:AF52)))</f>
        <v>3.167901598656464E-2</v>
      </c>
      <c r="AG55" s="42">
        <f t="array" ref="AG55">SQRT(MMULT(TRANSPOSE(AG47:AG52),MMULT($Z$17:$AE$22,AG47:AG52)))</f>
        <v>4.1607128566225567E-2</v>
      </c>
      <c r="AH55" s="42">
        <f t="array" ref="AH55">SQRT(MMULT(TRANSPOSE(AH47:AH52),MMULT($Z$17:$AE$22,AH47:AH52)))</f>
        <v>4.9620441401426803E-2</v>
      </c>
      <c r="AP55"/>
    </row>
    <row r="56" spans="1:42" x14ac:dyDescent="0.2">
      <c r="A56">
        <f t="shared" si="2"/>
        <v>48</v>
      </c>
      <c r="B56" s="15">
        <v>0.05</v>
      </c>
      <c r="C56" s="16">
        <f t="shared" si="1"/>
        <v>4.1657121104599071E-5</v>
      </c>
      <c r="D56">
        <v>2.3754900000000002E-2</v>
      </c>
      <c r="E56">
        <v>-3.6108700000000001E-2</v>
      </c>
      <c r="F56">
        <v>1.3604099999999999E-2</v>
      </c>
      <c r="G56">
        <v>2.6650299999999998E-2</v>
      </c>
      <c r="H56">
        <v>1.073E-2</v>
      </c>
      <c r="I56">
        <v>4.8163299999999999E-2</v>
      </c>
      <c r="L56">
        <f t="shared" si="3"/>
        <v>48</v>
      </c>
      <c r="M56" s="16">
        <f t="shared" si="0"/>
        <v>4.1657121104599071E-5</v>
      </c>
      <c r="N56">
        <v>1.3604099999999996E-2</v>
      </c>
      <c r="O56">
        <v>1.5717730344217785E-2</v>
      </c>
      <c r="P56">
        <v>2.0013984211075919E-2</v>
      </c>
      <c r="Q56">
        <v>2.6248687764488188E-2</v>
      </c>
      <c r="R56">
        <v>2.5845314313109408E-2</v>
      </c>
      <c r="S56">
        <v>2.553713414254475E-2</v>
      </c>
      <c r="T56">
        <v>2.4978687753532937E-2</v>
      </c>
      <c r="U56">
        <v>2.4293598521847454E-2</v>
      </c>
      <c r="V56">
        <v>2.3754900000000002E-2</v>
      </c>
      <c r="Y56" s="2" t="s">
        <v>40</v>
      </c>
      <c r="Z56" s="2" cm="1">
        <f t="array" ref="Z56">MMULT($D$70:$I$70,Z47:Z52)</f>
        <v>9.3312499999999949E-4</v>
      </c>
      <c r="AA56" s="2" cm="1">
        <f t="array" ref="AA56">MMULT($D$70:$I$70,AA47:AA52)</f>
        <v>1.8993028838464369E-3</v>
      </c>
      <c r="AB56" s="2" cm="1">
        <f t="array" ref="AB56">MMULT($D$70:$I$70,AB47:AB52)</f>
        <v>2.4662683679061745E-3</v>
      </c>
      <c r="AC56" s="2" cm="1">
        <f t="array" ref="AC56">MMULT($D$70:$I$70,AC47:AC52)</f>
        <v>4.4716734789439815E-3</v>
      </c>
      <c r="AD56" s="2" cm="1">
        <f t="array" ref="AD56">MMULT($D$70:$I$70,AD47:AD52)</f>
        <v>5.5841291804595312E-3</v>
      </c>
      <c r="AE56" s="2" cm="1">
        <f t="array" ref="AE56">MMULT($D$70:$I$70,AE47:AE52)</f>
        <v>6.4340532066115425E-3</v>
      </c>
      <c r="AF56" s="2" cm="1">
        <f t="array" ref="AF56">MMULT($D$70:$I$70,AF47:AF52)</f>
        <v>7.9741815103545714E-3</v>
      </c>
      <c r="AG56" s="2" cm="1">
        <f t="array" ref="AG56">MMULT($D$70:$I$70,AG47:AG52)</f>
        <v>9.8635756170573283E-3</v>
      </c>
      <c r="AH56" s="2" cm="1">
        <f t="array" ref="AH56">MMULT($D$70:$I$70,AH47:AH52)</f>
        <v>1.1349241666666669E-2</v>
      </c>
      <c r="AP56"/>
    </row>
    <row r="57" spans="1:42" x14ac:dyDescent="0.2">
      <c r="A57">
        <f t="shared" si="2"/>
        <v>49</v>
      </c>
      <c r="B57" s="15">
        <v>0.05</v>
      </c>
      <c r="C57" s="16">
        <f t="shared" si="1"/>
        <v>4.1657121104599071E-5</v>
      </c>
      <c r="D57">
        <v>3.0405700000000001E-2</v>
      </c>
      <c r="E57">
        <v>2.2368299999999997E-2</v>
      </c>
      <c r="F57">
        <v>-1.7495E-3</v>
      </c>
      <c r="G57">
        <v>-1.7587E-3</v>
      </c>
      <c r="H57">
        <v>-8.0710000000000005E-4</v>
      </c>
      <c r="I57">
        <v>1.8570299999999998E-2</v>
      </c>
      <c r="L57">
        <f t="shared" si="3"/>
        <v>49</v>
      </c>
      <c r="M57" s="16">
        <f t="shared" si="0"/>
        <v>4.1657121104599071E-5</v>
      </c>
      <c r="N57">
        <v>-1.7494999999999995E-3</v>
      </c>
      <c r="O57">
        <v>-8.9994693280621291E-4</v>
      </c>
      <c r="P57">
        <v>-4.7591215562928192E-4</v>
      </c>
      <c r="Q57">
        <v>2.7027272942930529E-3</v>
      </c>
      <c r="R57">
        <v>7.1837195715354525E-3</v>
      </c>
      <c r="S57">
        <v>1.0607229372637132E-2</v>
      </c>
      <c r="T57">
        <v>1.6810894853997855E-2</v>
      </c>
      <c r="U57">
        <v>2.4421409492260068E-2</v>
      </c>
      <c r="V57">
        <v>3.0405700000000001E-2</v>
      </c>
      <c r="Y57" s="2" t="s">
        <v>41</v>
      </c>
      <c r="AD57" s="8">
        <f>(AD56-M70)/AD55</f>
        <v>0.23235763554991742</v>
      </c>
      <c r="AF57" s="8"/>
      <c r="AP57"/>
    </row>
    <row r="58" spans="1:42" x14ac:dyDescent="0.2">
      <c r="A58">
        <f t="shared" si="2"/>
        <v>50</v>
      </c>
      <c r="B58" s="15">
        <v>0.04</v>
      </c>
      <c r="C58" s="16">
        <f t="shared" si="1"/>
        <v>3.3327223783574667E-5</v>
      </c>
      <c r="D58">
        <v>-4.6509799999999997E-2</v>
      </c>
      <c r="E58">
        <v>-2.9484799999999999E-2</v>
      </c>
      <c r="F58">
        <v>-1.08399E-2</v>
      </c>
      <c r="G58">
        <v>-7.1494999999999996E-3</v>
      </c>
      <c r="H58">
        <v>-8.8421999999999997E-3</v>
      </c>
      <c r="I58">
        <v>-5.4816700000000003E-2</v>
      </c>
      <c r="L58">
        <f t="shared" si="3"/>
        <v>50</v>
      </c>
      <c r="M58" s="16">
        <f t="shared" si="0"/>
        <v>3.3327223783574667E-5</v>
      </c>
      <c r="N58">
        <v>-1.0839899999999998E-2</v>
      </c>
      <c r="O58">
        <v>-1.04039538200115E-2</v>
      </c>
      <c r="P58">
        <v>-1.0558326852439036E-2</v>
      </c>
      <c r="Q58">
        <v>-1.2609048965053377E-2</v>
      </c>
      <c r="R58">
        <v>-1.809254003996676E-2</v>
      </c>
      <c r="S58">
        <v>-2.2281966014780601E-2</v>
      </c>
      <c r="T58">
        <v>-2.9873531050845396E-2</v>
      </c>
      <c r="U58">
        <v>-3.9186689055235098E-2</v>
      </c>
      <c r="V58">
        <v>-4.6509799999999997E-2</v>
      </c>
      <c r="AP58"/>
    </row>
    <row r="59" spans="1:42" x14ac:dyDescent="0.2">
      <c r="A59">
        <f t="shared" si="2"/>
        <v>51</v>
      </c>
      <c r="B59" s="15">
        <v>0.05</v>
      </c>
      <c r="C59" s="16">
        <f t="shared" si="1"/>
        <v>4.1657121104599071E-5</v>
      </c>
      <c r="D59">
        <v>7.0061799999999994E-2</v>
      </c>
      <c r="E59">
        <v>4.2539399999999998E-2</v>
      </c>
      <c r="F59">
        <v>-7.0389999999999993E-4</v>
      </c>
      <c r="G59">
        <v>1.13469E-2</v>
      </c>
      <c r="H59">
        <v>1.812E-3</v>
      </c>
      <c r="I59">
        <v>7.6954000000000009E-2</v>
      </c>
      <c r="L59">
        <f t="shared" si="3"/>
        <v>51</v>
      </c>
      <c r="M59" s="16">
        <f t="shared" si="0"/>
        <v>4.1657121104599071E-5</v>
      </c>
      <c r="N59">
        <v>-7.0389999999999982E-4</v>
      </c>
      <c r="O59">
        <v>4.3993384512243548E-3</v>
      </c>
      <c r="P59">
        <v>7.6564905620575665E-3</v>
      </c>
      <c r="Q59">
        <v>1.9491067385111714E-2</v>
      </c>
      <c r="R59">
        <v>2.7670949909239621E-2</v>
      </c>
      <c r="S59">
        <v>3.3920438027180727E-2</v>
      </c>
      <c r="T59">
        <v>4.5244995561956651E-2</v>
      </c>
      <c r="U59">
        <v>5.9137703211846034E-2</v>
      </c>
      <c r="V59">
        <v>7.0061799999999994E-2</v>
      </c>
      <c r="Y59" s="43" t="s">
        <v>42</v>
      </c>
      <c r="AP59"/>
    </row>
    <row r="60" spans="1:42" x14ac:dyDescent="0.2">
      <c r="A60">
        <f t="shared" si="2"/>
        <v>52</v>
      </c>
      <c r="B60" s="15">
        <v>0.05</v>
      </c>
      <c r="C60" s="16">
        <f t="shared" si="1"/>
        <v>4.1657121104599071E-5</v>
      </c>
      <c r="D60">
        <v>-6.9289999999999994E-3</v>
      </c>
      <c r="E60">
        <v>-4.16698E-2</v>
      </c>
      <c r="F60">
        <v>7.6556000000000003E-3</v>
      </c>
      <c r="G60">
        <v>8.9426999999999996E-3</v>
      </c>
      <c r="H60">
        <v>-8.4070000000000011E-4</v>
      </c>
      <c r="I60">
        <v>-6.8865000000000003E-3</v>
      </c>
      <c r="L60">
        <f t="shared" si="3"/>
        <v>52</v>
      </c>
      <c r="M60" s="16">
        <f t="shared" si="0"/>
        <v>4.1657121104599071E-5</v>
      </c>
      <c r="N60">
        <v>7.6555999999999985E-3</v>
      </c>
      <c r="O60">
        <v>6.2943655301115117E-3</v>
      </c>
      <c r="P60">
        <v>7.6686025850703238E-3</v>
      </c>
      <c r="Q60">
        <v>6.7411841754601038E-3</v>
      </c>
      <c r="R60">
        <v>4.5300139025276622E-3</v>
      </c>
      <c r="S60">
        <v>2.8406641708322009E-3</v>
      </c>
      <c r="T60">
        <v>-2.2056866486543135E-4</v>
      </c>
      <c r="U60">
        <v>-3.9760189510236188E-3</v>
      </c>
      <c r="V60">
        <v>-6.9289999999999994E-3</v>
      </c>
      <c r="Y60" s="2" t="s">
        <v>43</v>
      </c>
      <c r="Z60" s="2">
        <f>SUM(Z47:Z52)</f>
        <v>0.99999999999999978</v>
      </c>
      <c r="AA60" s="2">
        <f t="shared" ref="AA60:AH60" si="4">SUM(AA47:AA52)</f>
        <v>1</v>
      </c>
      <c r="AB60" s="2">
        <f t="shared" si="4"/>
        <v>0.99999999999999967</v>
      </c>
      <c r="AC60" s="2">
        <f t="shared" si="4"/>
        <v>1</v>
      </c>
      <c r="AD60" s="2">
        <f t="shared" si="4"/>
        <v>1</v>
      </c>
      <c r="AE60" s="2">
        <f t="shared" si="4"/>
        <v>1</v>
      </c>
      <c r="AF60" s="2">
        <f t="shared" si="4"/>
        <v>1</v>
      </c>
      <c r="AG60" s="2">
        <f t="shared" si="4"/>
        <v>1</v>
      </c>
      <c r="AH60" s="2">
        <f t="shared" si="4"/>
        <v>1</v>
      </c>
      <c r="AP60"/>
    </row>
    <row r="61" spans="1:42" x14ac:dyDescent="0.2">
      <c r="A61">
        <f t="shared" si="2"/>
        <v>53</v>
      </c>
      <c r="B61" s="15">
        <v>0.06</v>
      </c>
      <c r="C61" s="16">
        <f t="shared" si="1"/>
        <v>4.99862552685304E-5</v>
      </c>
      <c r="D61">
        <v>4.4816099999999998E-2</v>
      </c>
      <c r="E61">
        <v>2.2338399999999998E-2</v>
      </c>
      <c r="F61">
        <v>-5.1351999999999995E-3</v>
      </c>
      <c r="G61">
        <v>3.1646000000000001E-3</v>
      </c>
      <c r="H61">
        <v>1.4577000000000001E-3</v>
      </c>
      <c r="I61">
        <v>8.8149999999999992E-2</v>
      </c>
      <c r="L61">
        <f t="shared" si="3"/>
        <v>53</v>
      </c>
      <c r="M61" s="16">
        <f t="shared" si="0"/>
        <v>4.99862552685304E-5</v>
      </c>
      <c r="N61">
        <v>-5.1351999999999986E-3</v>
      </c>
      <c r="O61">
        <v>-1.702039822809768E-3</v>
      </c>
      <c r="P61">
        <v>6.7107330045016573E-4</v>
      </c>
      <c r="Q61">
        <v>8.9419544337294363E-3</v>
      </c>
      <c r="R61">
        <v>1.4744644670001892E-2</v>
      </c>
      <c r="S61">
        <v>1.9177941062304766E-2</v>
      </c>
      <c r="T61">
        <v>2.7211418223293194E-2</v>
      </c>
      <c r="U61">
        <v>3.7066703894892188E-2</v>
      </c>
      <c r="V61">
        <v>4.4816099999999998E-2</v>
      </c>
      <c r="Y61" s="2" t="s">
        <v>44</v>
      </c>
      <c r="Z61" s="44"/>
      <c r="AA61" s="44"/>
      <c r="AB61" s="44">
        <v>0.03</v>
      </c>
      <c r="AC61" s="44">
        <v>5.5E-2</v>
      </c>
      <c r="AD61" s="44"/>
      <c r="AE61" s="44">
        <v>0.08</v>
      </c>
      <c r="AF61" s="44">
        <v>0.1</v>
      </c>
      <c r="AG61" s="44">
        <v>0.125</v>
      </c>
      <c r="AH61" s="44"/>
    </row>
    <row r="62" spans="1:42" x14ac:dyDescent="0.2">
      <c r="A62">
        <f t="shared" si="2"/>
        <v>54</v>
      </c>
      <c r="B62" s="15">
        <v>0.15</v>
      </c>
      <c r="C62" s="16">
        <f t="shared" si="1"/>
        <v>1.2491414476678564E-4</v>
      </c>
      <c r="D62">
        <v>-5.1746999999999994E-2</v>
      </c>
      <c r="E62">
        <v>-9.6273700000000004E-2</v>
      </c>
      <c r="F62">
        <v>-1.89438E-2</v>
      </c>
      <c r="G62">
        <v>-2.0225E-2</v>
      </c>
      <c r="H62">
        <v>-3.0658699999999997E-2</v>
      </c>
      <c r="I62">
        <v>-6.9116299999999992E-2</v>
      </c>
      <c r="L62">
        <f t="shared" si="3"/>
        <v>54</v>
      </c>
      <c r="M62" s="16">
        <f t="shared" si="0"/>
        <v>1.2491414476678564E-4</v>
      </c>
      <c r="N62">
        <v>-1.8943799999999997E-2</v>
      </c>
      <c r="O62">
        <v>-2.2056600095343385E-2</v>
      </c>
      <c r="P62">
        <v>-2.0837241862324361E-2</v>
      </c>
      <c r="Q62">
        <v>-2.4597321920219423E-2</v>
      </c>
      <c r="R62">
        <v>-2.8988818063882444E-2</v>
      </c>
      <c r="S62">
        <v>-3.2343952185778922E-2</v>
      </c>
      <c r="T62">
        <v>-3.8423715629320621E-2</v>
      </c>
      <c r="U62">
        <v>-4.588223008714671E-2</v>
      </c>
      <c r="V62">
        <v>-5.1746999999999994E-2</v>
      </c>
      <c r="AP62"/>
    </row>
    <row r="63" spans="1:42" x14ac:dyDescent="0.2">
      <c r="A63">
        <f t="shared" si="2"/>
        <v>55</v>
      </c>
      <c r="B63" s="15">
        <v>0.33</v>
      </c>
      <c r="C63" s="16">
        <f t="shared" si="1"/>
        <v>2.7458493733023559E-4</v>
      </c>
      <c r="D63">
        <v>-2.9941499999999999E-2</v>
      </c>
      <c r="E63">
        <v>1.0674999999999999E-2</v>
      </c>
      <c r="F63">
        <v>-6.5869999999999991E-3</v>
      </c>
      <c r="G63">
        <v>8.5407E-3</v>
      </c>
      <c r="H63">
        <v>-1.9819E-2</v>
      </c>
      <c r="I63">
        <v>-3.1461500000000003E-2</v>
      </c>
      <c r="L63">
        <f t="shared" si="3"/>
        <v>55</v>
      </c>
      <c r="M63" s="16">
        <f t="shared" si="0"/>
        <v>2.7458493733023559E-4</v>
      </c>
      <c r="N63">
        <v>-6.5869999999999974E-3</v>
      </c>
      <c r="O63">
        <v>-1.4890775256071842E-3</v>
      </c>
      <c r="P63">
        <v>-5.5026414058985135E-4</v>
      </c>
      <c r="Q63">
        <v>3.2029496479199339E-3</v>
      </c>
      <c r="R63">
        <v>-2.1582086827592493E-3</v>
      </c>
      <c r="S63">
        <v>-6.2541715755212775E-3</v>
      </c>
      <c r="T63">
        <v>-1.3676374252605867E-2</v>
      </c>
      <c r="U63">
        <v>-2.2781762396408774E-2</v>
      </c>
      <c r="V63">
        <v>-2.9941499999999999E-2</v>
      </c>
      <c r="AP63"/>
    </row>
    <row r="64" spans="1:42" x14ac:dyDescent="0.2">
      <c r="A64">
        <f t="shared" si="2"/>
        <v>56</v>
      </c>
      <c r="B64" s="15">
        <v>0.44</v>
      </c>
      <c r="C64" s="16">
        <f t="shared" si="1"/>
        <v>3.6592929423662213E-4</v>
      </c>
      <c r="D64">
        <v>3.7129500000000003E-2</v>
      </c>
      <c r="E64">
        <v>1.24461E-2</v>
      </c>
      <c r="F64">
        <v>-3.1136799999999999E-2</v>
      </c>
      <c r="G64">
        <v>-1.85928E-2</v>
      </c>
      <c r="H64">
        <v>-2.3716400000000002E-2</v>
      </c>
      <c r="I64">
        <v>6.5606899999999996E-2</v>
      </c>
      <c r="L64">
        <f t="shared" si="3"/>
        <v>56</v>
      </c>
      <c r="M64" s="16">
        <f t="shared" si="0"/>
        <v>3.6592929423662213E-4</v>
      </c>
      <c r="N64">
        <v>-3.1136799999999992E-2</v>
      </c>
      <c r="O64">
        <v>-2.5875243739361654E-2</v>
      </c>
      <c r="P64">
        <v>-2.2648663361159657E-2</v>
      </c>
      <c r="Q64">
        <v>-1.0863727170387577E-2</v>
      </c>
      <c r="R64">
        <v>-3.1007595425075543E-3</v>
      </c>
      <c r="S64">
        <v>2.8302026451884083E-3</v>
      </c>
      <c r="T64">
        <v>1.3577566471407039E-2</v>
      </c>
      <c r="U64">
        <v>2.6762186107639602E-2</v>
      </c>
      <c r="V64">
        <v>3.7129500000000003E-2</v>
      </c>
      <c r="Y64" s="2" t="s">
        <v>4</v>
      </c>
      <c r="Z64" s="45">
        <f>SQRT(12)*Z55</f>
        <v>4.4794178181885413E-2</v>
      </c>
      <c r="AA64" s="45">
        <f>SQRT(12)*AA55</f>
        <v>4.0898696965075587E-2</v>
      </c>
      <c r="AB64" s="45">
        <f t="shared" ref="AB64:AF64" si="5">SQRT(12)*AB55</f>
        <v>4.1531170917698812E-2</v>
      </c>
      <c r="AC64" s="45">
        <f t="shared" si="5"/>
        <v>5.5131887140209286E-2</v>
      </c>
      <c r="AD64" s="45">
        <f t="shared" si="5"/>
        <v>6.9913521149213315E-2</v>
      </c>
      <c r="AE64" s="45">
        <f t="shared" si="5"/>
        <v>8.3272981820615599E-2</v>
      </c>
      <c r="AF64" s="45">
        <f t="shared" si="5"/>
        <v>0.10973933044503331</v>
      </c>
      <c r="AG64" s="45">
        <f>SQRT(12)*AG55</f>
        <v>0.14413132126750619</v>
      </c>
      <c r="AH64" s="45">
        <f>SQRT(12)*AH55</f>
        <v>0.17189025120253087</v>
      </c>
    </row>
    <row r="65" spans="1:46" x14ac:dyDescent="0.2">
      <c r="A65">
        <f t="shared" si="2"/>
        <v>57</v>
      </c>
      <c r="B65" s="15">
        <v>0.76</v>
      </c>
      <c r="C65" s="16">
        <f t="shared" si="1"/>
        <v>6.3113787510671315E-4</v>
      </c>
      <c r="D65">
        <v>-8.7201799999999996E-2</v>
      </c>
      <c r="E65">
        <v>-9.9109300000000011E-2</v>
      </c>
      <c r="F65">
        <v>-3.0980599999999997E-2</v>
      </c>
      <c r="G65">
        <v>-2.04383E-2</v>
      </c>
      <c r="H65">
        <v>-4.7676800000000005E-2</v>
      </c>
      <c r="I65">
        <v>-4.4369399999999996E-2</v>
      </c>
      <c r="L65">
        <f t="shared" si="3"/>
        <v>57</v>
      </c>
      <c r="M65" s="16">
        <f t="shared" si="0"/>
        <v>6.3113787510671315E-4</v>
      </c>
      <c r="N65">
        <v>-3.098059999999999E-2</v>
      </c>
      <c r="O65">
        <v>-3.0260584859236252E-2</v>
      </c>
      <c r="P65">
        <v>-2.8361090355668472E-2</v>
      </c>
      <c r="Q65">
        <v>-2.9698864511153146E-2</v>
      </c>
      <c r="R65">
        <v>-3.9000039969164887E-2</v>
      </c>
      <c r="S65">
        <v>-4.6106203821307375E-2</v>
      </c>
      <c r="T65">
        <v>-5.8983124278857546E-2</v>
      </c>
      <c r="U65">
        <v>-7.4780235185686814E-2</v>
      </c>
      <c r="V65">
        <v>-8.7201799999999996E-2</v>
      </c>
      <c r="Y65" s="2" t="s">
        <v>45</v>
      </c>
      <c r="Z65" s="45">
        <f>(1+Z56)^12-1</f>
        <v>1.1255146793776927E-2</v>
      </c>
      <c r="AA65" s="45">
        <f t="shared" ref="AA65:AH65" si="6">(1+AA56)^12-1</f>
        <v>2.3031233582208044E-2</v>
      </c>
      <c r="AB65" s="45">
        <f t="shared" si="6"/>
        <v>2.9999982684353554E-2</v>
      </c>
      <c r="AC65" s="45">
        <f t="shared" si="6"/>
        <v>5.4999679387395917E-2</v>
      </c>
      <c r="AD65" s="45">
        <f>(1+AD56)^12-1</f>
        <v>6.9106388683045639E-2</v>
      </c>
      <c r="AE65" s="45">
        <f t="shared" si="6"/>
        <v>8.0000297418479249E-2</v>
      </c>
      <c r="AF65" s="45">
        <f t="shared" si="6"/>
        <v>0.10000053798530417</v>
      </c>
      <c r="AG65" s="45">
        <f t="shared" si="6"/>
        <v>0.12499993401278919</v>
      </c>
      <c r="AH65" s="45">
        <f t="shared" si="6"/>
        <v>0.1450220177829844</v>
      </c>
    </row>
    <row r="66" spans="1:46" x14ac:dyDescent="0.2">
      <c r="A66">
        <f t="shared" si="2"/>
        <v>58</v>
      </c>
      <c r="B66" s="15">
        <v>0.98</v>
      </c>
      <c r="C66" s="16">
        <f t="shared" si="1"/>
        <v>8.1302127632687515E-4</v>
      </c>
      <c r="D66">
        <v>1.8346E-3</v>
      </c>
      <c r="E66">
        <v>1.5112000000000001E-3</v>
      </c>
      <c r="F66">
        <v>1.8284E-3</v>
      </c>
      <c r="G66">
        <v>-9.9211000000000004E-3</v>
      </c>
      <c r="H66">
        <v>4.9176999999999997E-3</v>
      </c>
      <c r="I66">
        <v>-6.1640499999999994E-2</v>
      </c>
      <c r="L66">
        <f t="shared" si="3"/>
        <v>58</v>
      </c>
      <c r="M66" s="16">
        <f t="shared" si="0"/>
        <v>8.1302127632687515E-4</v>
      </c>
      <c r="N66">
        <v>1.8283999999999996E-3</v>
      </c>
      <c r="O66">
        <v>-1.6685161731156465E-3</v>
      </c>
      <c r="P66">
        <v>-3.5808491272708819E-3</v>
      </c>
      <c r="Q66">
        <v>-8.2905021699916422E-3</v>
      </c>
      <c r="R66">
        <v>-6.6527535748498552E-3</v>
      </c>
      <c r="S66">
        <v>-5.4015020617231993E-3</v>
      </c>
      <c r="T66">
        <v>-3.1341372018398447E-3</v>
      </c>
      <c r="U66">
        <v>-3.5258595471509939E-4</v>
      </c>
      <c r="V66">
        <v>1.8346E-3</v>
      </c>
      <c r="Y66" s="2" t="s">
        <v>64</v>
      </c>
      <c r="AD66" s="8"/>
    </row>
    <row r="67" spans="1:46" x14ac:dyDescent="0.2">
      <c r="A67">
        <f t="shared" si="2"/>
        <v>59</v>
      </c>
      <c r="B67" s="15">
        <v>1.49</v>
      </c>
      <c r="C67" s="16">
        <f t="shared" si="1"/>
        <v>1.2332669717645128E-3</v>
      </c>
      <c r="D67">
        <v>-8.2543800000000001E-2</v>
      </c>
      <c r="E67">
        <v>-8.2243099999999986E-2</v>
      </c>
      <c r="F67">
        <v>-8.7992999999999995E-3</v>
      </c>
      <c r="G67">
        <v>-3.1644399999999996E-2</v>
      </c>
      <c r="H67">
        <v>-3.01547E-2</v>
      </c>
      <c r="I67">
        <v>-7.4680299999999991E-2</v>
      </c>
      <c r="L67">
        <f t="shared" si="3"/>
        <v>59</v>
      </c>
      <c r="M67" s="16">
        <f t="shared" si="0"/>
        <v>1.2332669717645128E-3</v>
      </c>
      <c r="N67">
        <v>-8.7992999999999977E-3</v>
      </c>
      <c r="O67">
        <v>-1.817210232098778E-2</v>
      </c>
      <c r="P67">
        <v>-2.2247785181577676E-2</v>
      </c>
      <c r="Q67">
        <v>-3.8704502859780991E-2</v>
      </c>
      <c r="R67">
        <v>-4.5795566840961172E-2</v>
      </c>
      <c r="S67">
        <v>-5.1213189889119846E-2</v>
      </c>
      <c r="T67">
        <v>-6.1030343350772231E-2</v>
      </c>
      <c r="U67">
        <v>-7.3073802230115961E-2</v>
      </c>
      <c r="V67">
        <v>-8.2543800000000001E-2</v>
      </c>
    </row>
    <row r="68" spans="1:46" x14ac:dyDescent="0.2">
      <c r="A68">
        <f t="shared" si="2"/>
        <v>60</v>
      </c>
      <c r="B68" s="15">
        <v>2.23</v>
      </c>
      <c r="C68" s="16">
        <f t="shared" si="1"/>
        <v>1.8396059010297172E-3</v>
      </c>
      <c r="D68">
        <v>9.2204499999999995E-2</v>
      </c>
      <c r="E68">
        <v>0.10440279999999999</v>
      </c>
      <c r="F68">
        <v>1.5941899999999998E-2</v>
      </c>
      <c r="G68">
        <v>4.3534499999999997E-2</v>
      </c>
      <c r="H68">
        <v>3.3893399999999997E-2</v>
      </c>
      <c r="I68">
        <v>8.9628399999999997E-2</v>
      </c>
      <c r="L68">
        <f t="shared" si="3"/>
        <v>60</v>
      </c>
      <c r="M68" s="16">
        <f t="shared" si="0"/>
        <v>1.8396059010297172E-3</v>
      </c>
      <c r="N68">
        <v>1.5941899999999995E-2</v>
      </c>
      <c r="O68">
        <v>2.7253815166311354E-2</v>
      </c>
      <c r="P68">
        <v>3.1676211976641055E-2</v>
      </c>
      <c r="Q68">
        <v>5.0285369483442657E-2</v>
      </c>
      <c r="R68">
        <v>5.7065843987347195E-2</v>
      </c>
      <c r="S68">
        <v>6.2246174477566779E-2</v>
      </c>
      <c r="T68">
        <v>7.1633335406352222E-2</v>
      </c>
      <c r="U68">
        <v>8.3149289300851165E-2</v>
      </c>
      <c r="V68">
        <v>9.2204499999999995E-2</v>
      </c>
    </row>
    <row r="69" spans="1:46" x14ac:dyDescent="0.2">
      <c r="B69" s="13"/>
      <c r="C69" s="13"/>
      <c r="F69" s="15"/>
      <c r="L69" s="46"/>
      <c r="M69" s="7"/>
    </row>
    <row r="70" spans="1:46" x14ac:dyDescent="0.2">
      <c r="A70" t="s">
        <v>46</v>
      </c>
      <c r="B70" s="15"/>
      <c r="C70" s="47">
        <f>AVERAGE(C9:C68)</f>
        <v>8.9461880460574761E-4</v>
      </c>
      <c r="D70" s="47">
        <f t="shared" ref="D70:I70" si="7">AVERAGE(D9:D68)</f>
        <v>1.1349241666666669E-2</v>
      </c>
      <c r="E70" s="47">
        <f t="shared" si="7"/>
        <v>7.8658700000000022E-3</v>
      </c>
      <c r="F70" s="47">
        <f t="shared" si="7"/>
        <v>9.3312499999999971E-4</v>
      </c>
      <c r="G70" s="47">
        <f t="shared" si="7"/>
        <v>3.3640750000000011E-3</v>
      </c>
      <c r="H70" s="47">
        <f t="shared" si="7"/>
        <v>1.8747450000000008E-3</v>
      </c>
      <c r="I70" s="47">
        <f t="shared" si="7"/>
        <v>6.9965233333333324E-3</v>
      </c>
      <c r="J70" s="47"/>
      <c r="L70" s="46" t="s">
        <v>47</v>
      </c>
      <c r="M70" s="7">
        <f t="shared" ref="M70:V70" si="8">AVERAGE(M9:M68)</f>
        <v>8.9461880460574761E-4</v>
      </c>
      <c r="N70">
        <f t="shared" si="8"/>
        <v>9.3312499999999993E-4</v>
      </c>
      <c r="O70">
        <f t="shared" si="8"/>
        <v>1.8993028838464375E-3</v>
      </c>
      <c r="P70">
        <f t="shared" si="8"/>
        <v>2.4662683679061753E-3</v>
      </c>
      <c r="Q70">
        <f t="shared" si="8"/>
        <v>4.4716734789439789E-3</v>
      </c>
      <c r="R70">
        <f t="shared" si="8"/>
        <v>5.5841291804595303E-3</v>
      </c>
      <c r="S70">
        <f t="shared" si="8"/>
        <v>6.4340532066115433E-3</v>
      </c>
      <c r="T70">
        <f t="shared" si="8"/>
        <v>7.9741815103545714E-3</v>
      </c>
      <c r="U70">
        <f t="shared" si="8"/>
        <v>9.8635756170573283E-3</v>
      </c>
      <c r="V70">
        <f t="shared" si="8"/>
        <v>1.1349241666666669E-2</v>
      </c>
      <c r="Y70" s="4" t="s">
        <v>48</v>
      </c>
    </row>
    <row r="71" spans="1:46" ht="17" thickBot="1" x14ac:dyDescent="0.25">
      <c r="A71" t="s">
        <v>49</v>
      </c>
      <c r="C71">
        <f>_xlfn.STDEV.P(C9:C68)</f>
        <v>7.4123327679090855E-4</v>
      </c>
      <c r="D71">
        <f t="shared" ref="D71:I71" si="9">_xlfn.STDEV.P(D9:D68)</f>
        <v>4.9620441401426803E-2</v>
      </c>
      <c r="E71">
        <f t="shared" si="9"/>
        <v>6.4310299028665946E-2</v>
      </c>
      <c r="F71">
        <f t="shared" si="9"/>
        <v>1.2930965415719805E-2</v>
      </c>
      <c r="G71">
        <f t="shared" si="9"/>
        <v>1.3336625668194399E-2</v>
      </c>
      <c r="H71">
        <f t="shared" si="9"/>
        <v>1.9649724234726759E-2</v>
      </c>
      <c r="I71">
        <f t="shared" si="9"/>
        <v>5.4236944535664883E-2</v>
      </c>
      <c r="L71" s="46" t="s">
        <v>50</v>
      </c>
      <c r="M71" s="7">
        <f t="shared" ref="M71" si="10">STDEV(M9:M68)</f>
        <v>7.4748852082712712E-4</v>
      </c>
      <c r="N71">
        <f>_xlfn.STDEV.P(N9:N68)</f>
        <v>1.29309654157198E-2</v>
      </c>
      <c r="O71">
        <f t="shared" ref="O71:V71" si="11">_xlfn.STDEV.P(O9:O68)</f>
        <v>1.1806436851145661E-2</v>
      </c>
      <c r="P71">
        <f t="shared" si="11"/>
        <v>1.1989016354546881E-2</v>
      </c>
      <c r="Q71">
        <f t="shared" si="11"/>
        <v>1.591520494066595E-2</v>
      </c>
      <c r="R71">
        <f t="shared" si="11"/>
        <v>2.0182295127746452E-2</v>
      </c>
      <c r="S71">
        <f t="shared" si="11"/>
        <v>2.4038839235177616E-2</v>
      </c>
      <c r="T71">
        <f t="shared" si="11"/>
        <v>3.167901598656464E-2</v>
      </c>
      <c r="U71">
        <f t="shared" si="11"/>
        <v>4.160712856622556E-2</v>
      </c>
      <c r="V71">
        <f t="shared" si="11"/>
        <v>4.9620441401426803E-2</v>
      </c>
    </row>
    <row r="72" spans="1:46" ht="17" thickBot="1" x14ac:dyDescent="0.25">
      <c r="A72" t="s">
        <v>3</v>
      </c>
      <c r="C72">
        <f>(1+AVERAGE(C9:C68))^12-1</f>
        <v>1.0788406118340976E-2</v>
      </c>
      <c r="D72">
        <f t="shared" ref="D72:I72" si="12">(1+AVERAGE(D9:D68))^12-1</f>
        <v>0.1450220177829844</v>
      </c>
      <c r="E72">
        <f t="shared" si="12"/>
        <v>9.8582973920927852E-2</v>
      </c>
      <c r="F72">
        <f t="shared" si="12"/>
        <v>1.1255146793776927E-2</v>
      </c>
      <c r="G72">
        <f t="shared" si="12"/>
        <v>4.1124261451965349E-2</v>
      </c>
      <c r="H72">
        <f t="shared" si="12"/>
        <v>2.273036387857208E-2</v>
      </c>
      <c r="I72">
        <f t="shared" si="12"/>
        <v>8.7265615500962346E-2</v>
      </c>
      <c r="L72" s="48" t="s">
        <v>51</v>
      </c>
      <c r="M72" s="49"/>
      <c r="N72" s="49"/>
      <c r="O72" s="49"/>
      <c r="P72" s="50"/>
      <c r="Y72" s="43" t="s">
        <v>52</v>
      </c>
      <c r="AQ72" s="2"/>
      <c r="AR72" s="2"/>
      <c r="AS72" s="2"/>
      <c r="AT72" s="2"/>
    </row>
    <row r="73" spans="1:46" x14ac:dyDescent="0.2">
      <c r="A73" t="s">
        <v>53</v>
      </c>
      <c r="C73">
        <f>SQRT(12)*_xlfn.STDEV.P(C9:C68)</f>
        <v>2.5677073913252363E-3</v>
      </c>
      <c r="D73">
        <f t="shared" ref="D73:I73" si="13">SQRT(12)*_xlfn.STDEV.P(D9:D68)</f>
        <v>0.17189025120253087</v>
      </c>
      <c r="E73">
        <f t="shared" si="13"/>
        <v>0.22277741073519366</v>
      </c>
      <c r="F73">
        <f t="shared" si="13"/>
        <v>4.479417818188542E-2</v>
      </c>
      <c r="G73">
        <f t="shared" si="13"/>
        <v>4.6199426517679852E-2</v>
      </c>
      <c r="H73">
        <f t="shared" si="13"/>
        <v>6.8068641458528437E-2</v>
      </c>
      <c r="I73">
        <f t="shared" si="13"/>
        <v>0.18788228716613353</v>
      </c>
      <c r="L73" s="51"/>
      <c r="M73" s="52"/>
      <c r="N73" s="52" t="s">
        <v>54</v>
      </c>
      <c r="O73" s="52" t="s">
        <v>55</v>
      </c>
      <c r="P73" s="52" t="s">
        <v>15</v>
      </c>
      <c r="Q73" s="52" t="s">
        <v>16</v>
      </c>
      <c r="R73" s="52" t="s">
        <v>56</v>
      </c>
      <c r="S73" s="52" t="s">
        <v>18</v>
      </c>
      <c r="T73" s="52" t="s">
        <v>19</v>
      </c>
      <c r="U73" s="52" t="s">
        <v>20</v>
      </c>
      <c r="V73" s="53" t="s">
        <v>57</v>
      </c>
      <c r="Z73" s="43" t="s">
        <v>58</v>
      </c>
      <c r="AA73" s="43" t="s">
        <v>59</v>
      </c>
      <c r="AP73"/>
      <c r="AQ73" s="2"/>
      <c r="AR73" s="2"/>
      <c r="AS73" s="2"/>
      <c r="AT73" s="2"/>
    </row>
    <row r="74" spans="1:46" x14ac:dyDescent="0.2">
      <c r="L74" s="54" t="s">
        <v>60</v>
      </c>
      <c r="N74" s="62">
        <f>Z56</f>
        <v>9.3312499999999949E-4</v>
      </c>
      <c r="O74" s="62">
        <f t="shared" ref="O74:V74" si="14">AA56</f>
        <v>1.8993028838464369E-3</v>
      </c>
      <c r="P74" s="62">
        <f t="shared" si="14"/>
        <v>2.4662683679061745E-3</v>
      </c>
      <c r="Q74" s="62">
        <f t="shared" si="14"/>
        <v>4.4716734789439815E-3</v>
      </c>
      <c r="R74" s="62">
        <f t="shared" si="14"/>
        <v>5.5841291804595312E-3</v>
      </c>
      <c r="S74" s="62">
        <f t="shared" si="14"/>
        <v>6.4340532066115425E-3</v>
      </c>
      <c r="T74" s="62">
        <f t="shared" si="14"/>
        <v>7.9741815103545714E-3</v>
      </c>
      <c r="U74" s="62">
        <f t="shared" si="14"/>
        <v>9.8635756170573283E-3</v>
      </c>
      <c r="V74" s="71">
        <f t="shared" si="14"/>
        <v>1.1349241666666669E-2</v>
      </c>
      <c r="Y74" s="2" t="s">
        <v>34</v>
      </c>
      <c r="Z74" s="55">
        <v>4.47941781818854E-2</v>
      </c>
      <c r="AA74" s="55">
        <f>Z65</f>
        <v>1.1255146793776927E-2</v>
      </c>
      <c r="AQ74" s="2"/>
      <c r="AR74" s="2"/>
      <c r="AS74" s="2"/>
      <c r="AT74" s="2"/>
    </row>
    <row r="75" spans="1:46" ht="17" thickBot="1" x14ac:dyDescent="0.25">
      <c r="L75" s="56" t="s">
        <v>61</v>
      </c>
      <c r="M75" s="23"/>
      <c r="N75" s="57">
        <f>Z55</f>
        <v>1.2930965415719803E-2</v>
      </c>
      <c r="O75" s="57">
        <f t="shared" ref="O75:V75" si="15">AA55</f>
        <v>1.1806436851145661E-2</v>
      </c>
      <c r="P75" s="57">
        <f t="shared" si="15"/>
        <v>1.1989016354546883E-2</v>
      </c>
      <c r="Q75" s="57">
        <f t="shared" si="15"/>
        <v>1.591520494066595E-2</v>
      </c>
      <c r="R75" s="57">
        <f t="shared" si="15"/>
        <v>2.0182295127746452E-2</v>
      </c>
      <c r="S75" s="57">
        <f t="shared" si="15"/>
        <v>2.4038839235177616E-2</v>
      </c>
      <c r="T75" s="57">
        <f t="shared" si="15"/>
        <v>3.167901598656464E-2</v>
      </c>
      <c r="U75" s="57">
        <f t="shared" si="15"/>
        <v>4.1607128566225567E-2</v>
      </c>
      <c r="V75" s="58">
        <f t="shared" si="15"/>
        <v>4.9620441401426803E-2</v>
      </c>
      <c r="Y75" s="2" t="s">
        <v>35</v>
      </c>
      <c r="Z75" s="55">
        <v>4.0898696965075587E-2</v>
      </c>
      <c r="AA75" s="55">
        <v>2.3031233582208044E-2</v>
      </c>
      <c r="AQ75" s="2"/>
      <c r="AR75" s="2"/>
      <c r="AS75" s="2"/>
    </row>
    <row r="76" spans="1:46" x14ac:dyDescent="0.2">
      <c r="L76" s="46"/>
      <c r="Y76" s="2" t="s">
        <v>15</v>
      </c>
      <c r="Z76" s="55">
        <v>4.1531170917698805E-2</v>
      </c>
      <c r="AA76" s="55">
        <v>2.9999982684353554E-2</v>
      </c>
      <c r="AQ76" s="2"/>
      <c r="AR76" s="2"/>
      <c r="AS76" s="2"/>
    </row>
    <row r="77" spans="1:46" x14ac:dyDescent="0.2">
      <c r="L77" s="46"/>
      <c r="Y77" s="2" t="s">
        <v>16</v>
      </c>
      <c r="Z77" s="55">
        <v>5.5131887140209286E-2</v>
      </c>
      <c r="AA77" s="55">
        <v>5.4999679387395917E-2</v>
      </c>
      <c r="AQ77" s="2"/>
      <c r="AR77" s="2"/>
      <c r="AS77" s="2"/>
    </row>
    <row r="78" spans="1:46" x14ac:dyDescent="0.2">
      <c r="L78" s="46"/>
      <c r="Y78" s="2" t="s">
        <v>36</v>
      </c>
      <c r="Z78" s="55">
        <v>6.9913521149213315E-2</v>
      </c>
      <c r="AA78" s="55">
        <v>6.9106388683045639E-2</v>
      </c>
      <c r="AQ78" s="2"/>
      <c r="AR78" s="2"/>
      <c r="AS78" s="2"/>
    </row>
    <row r="79" spans="1:46" x14ac:dyDescent="0.2">
      <c r="L79" s="46"/>
      <c r="Y79" s="40" t="s">
        <v>18</v>
      </c>
      <c r="Z79" s="55">
        <v>8.3272981820615599E-2</v>
      </c>
      <c r="AA79" s="55">
        <v>8.0000297418479249E-2</v>
      </c>
      <c r="AQ79" s="2"/>
      <c r="AR79" s="2"/>
      <c r="AS79" s="2"/>
    </row>
    <row r="80" spans="1:46" x14ac:dyDescent="0.2">
      <c r="L80" s="46"/>
      <c r="Y80" s="2" t="s">
        <v>19</v>
      </c>
      <c r="Z80" s="55">
        <v>0.10973933044503331</v>
      </c>
      <c r="AA80" s="55">
        <v>0.10000053798530417</v>
      </c>
      <c r="AQ80" s="2"/>
      <c r="AR80" s="2"/>
      <c r="AS80" s="2"/>
    </row>
    <row r="81" spans="12:27" x14ac:dyDescent="0.2">
      <c r="L81" s="46"/>
      <c r="Y81" s="2" t="s">
        <v>20</v>
      </c>
      <c r="Z81" s="55">
        <v>0.14413132126750616</v>
      </c>
      <c r="AA81" s="55">
        <v>0.12499993401278919</v>
      </c>
    </row>
    <row r="82" spans="12:27" x14ac:dyDescent="0.2">
      <c r="L82" s="46"/>
      <c r="Y82" s="2" t="s">
        <v>37</v>
      </c>
      <c r="Z82" s="55">
        <v>0.17189025120253087</v>
      </c>
      <c r="AA82" s="55">
        <v>0.1450220177829844</v>
      </c>
    </row>
    <row r="83" spans="12:27" x14ac:dyDescent="0.2">
      <c r="L83" s="46"/>
      <c r="Z83" s="41"/>
      <c r="AA83" s="41"/>
    </row>
    <row r="84" spans="12:27" x14ac:dyDescent="0.2">
      <c r="L84" s="46"/>
      <c r="Z84" s="41"/>
      <c r="AA84" s="41"/>
    </row>
    <row r="85" spans="12:27" x14ac:dyDescent="0.2">
      <c r="L85" s="46"/>
      <c r="Z85" s="41"/>
      <c r="AA85" s="41"/>
    </row>
    <row r="86" spans="12:27" x14ac:dyDescent="0.2">
      <c r="L86" s="46"/>
      <c r="Z86" s="41"/>
      <c r="AA86" s="41"/>
    </row>
    <row r="87" spans="12:27" x14ac:dyDescent="0.2">
      <c r="L87" s="46"/>
      <c r="Y87" s="43"/>
    </row>
    <row r="88" spans="12:27" x14ac:dyDescent="0.2">
      <c r="L88" s="46"/>
    </row>
    <row r="89" spans="12:27" x14ac:dyDescent="0.2">
      <c r="L89" s="46"/>
      <c r="Y89" s="43" t="s">
        <v>65</v>
      </c>
      <c r="Z89" s="43"/>
      <c r="AA89" s="45"/>
    </row>
    <row r="90" spans="12:27" x14ac:dyDescent="0.2">
      <c r="L90" s="46"/>
      <c r="AA90" s="45"/>
    </row>
    <row r="91" spans="12:27" x14ac:dyDescent="0.2">
      <c r="L91" s="46"/>
      <c r="Z91" s="43" t="s">
        <v>4</v>
      </c>
      <c r="AA91" s="43" t="s">
        <v>45</v>
      </c>
    </row>
    <row r="92" spans="12:27" x14ac:dyDescent="0.2">
      <c r="L92" s="46"/>
      <c r="Y92" s="2" t="s">
        <v>66</v>
      </c>
      <c r="Z92" s="55">
        <v>0</v>
      </c>
      <c r="AA92" s="55">
        <f>Z6</f>
        <v>1.0788406118340976E-2</v>
      </c>
    </row>
    <row r="93" spans="12:27" x14ac:dyDescent="0.2">
      <c r="L93" s="46"/>
      <c r="Y93" s="2" t="s">
        <v>67</v>
      </c>
      <c r="Z93" s="55">
        <f>AD64</f>
        <v>6.9913521149213315E-2</v>
      </c>
      <c r="AA93" s="55">
        <f>AD65</f>
        <v>6.9106388683045639E-2</v>
      </c>
    </row>
    <row r="94" spans="12:27" x14ac:dyDescent="0.2">
      <c r="L94" s="46"/>
      <c r="Y94" s="2" t="s">
        <v>68</v>
      </c>
      <c r="Z94" s="55">
        <v>0.18</v>
      </c>
      <c r="AA94" s="55">
        <f>AA92+(AA93-AA92)/Z93*Z94</f>
        <v>0.1609344249298246</v>
      </c>
    </row>
    <row r="95" spans="12:27" x14ac:dyDescent="0.2">
      <c r="L95" s="46"/>
    </row>
    <row r="96" spans="12:27" x14ac:dyDescent="0.2">
      <c r="L96" s="46"/>
      <c r="AA96" s="70"/>
    </row>
    <row r="97" spans="12:28" x14ac:dyDescent="0.2">
      <c r="L97" s="46"/>
    </row>
    <row r="98" spans="12:28" x14ac:dyDescent="0.2">
      <c r="L98" s="46"/>
    </row>
    <row r="99" spans="12:28" x14ac:dyDescent="0.2">
      <c r="L99" s="46"/>
    </row>
    <row r="100" spans="12:28" x14ac:dyDescent="0.2">
      <c r="L100" s="46"/>
    </row>
    <row r="101" spans="12:28" x14ac:dyDescent="0.2">
      <c r="L101" s="46"/>
      <c r="AB101" s="41"/>
    </row>
    <row r="102" spans="12:28" x14ac:dyDescent="0.2">
      <c r="L102" s="46"/>
    </row>
    <row r="103" spans="12:28" x14ac:dyDescent="0.2">
      <c r="L103" s="46"/>
    </row>
    <row r="104" spans="12:28" x14ac:dyDescent="0.2">
      <c r="L104" s="46"/>
    </row>
    <row r="105" spans="12:28" x14ac:dyDescent="0.2">
      <c r="L105" s="46"/>
    </row>
    <row r="106" spans="12:28" x14ac:dyDescent="0.2">
      <c r="L106" s="46"/>
    </row>
    <row r="107" spans="12:28" x14ac:dyDescent="0.2">
      <c r="L107" s="46"/>
    </row>
    <row r="108" spans="12:28" x14ac:dyDescent="0.2">
      <c r="L108" s="46"/>
    </row>
    <row r="109" spans="12:28" x14ac:dyDescent="0.2">
      <c r="L109" s="46"/>
    </row>
    <row r="110" spans="12:28" x14ac:dyDescent="0.2">
      <c r="L110" s="46"/>
    </row>
    <row r="111" spans="12:28" x14ac:dyDescent="0.2">
      <c r="L111" s="46"/>
    </row>
    <row r="112" spans="12:28" x14ac:dyDescent="0.2">
      <c r="L112" s="46"/>
    </row>
    <row r="113" spans="12:12" x14ac:dyDescent="0.2">
      <c r="L113" s="46"/>
    </row>
    <row r="114" spans="12:12" x14ac:dyDescent="0.2">
      <c r="L114" s="46"/>
    </row>
    <row r="115" spans="12:12" x14ac:dyDescent="0.2">
      <c r="L115" s="46"/>
    </row>
    <row r="116" spans="12:12" x14ac:dyDescent="0.2">
      <c r="L116" s="46"/>
    </row>
    <row r="117" spans="12:12" x14ac:dyDescent="0.2">
      <c r="L117" s="46"/>
    </row>
    <row r="118" spans="12:12" x14ac:dyDescent="0.2">
      <c r="L118" s="46"/>
    </row>
    <row r="119" spans="12:12" x14ac:dyDescent="0.2">
      <c r="L119" s="46"/>
    </row>
    <row r="120" spans="12:12" x14ac:dyDescent="0.2">
      <c r="L120" s="46"/>
    </row>
    <row r="121" spans="12:12" x14ac:dyDescent="0.2">
      <c r="L121" s="46"/>
    </row>
    <row r="122" spans="12:12" x14ac:dyDescent="0.2">
      <c r="L122" s="46"/>
    </row>
    <row r="123" spans="12:12" x14ac:dyDescent="0.2">
      <c r="L123" s="46"/>
    </row>
    <row r="124" spans="12:12" x14ac:dyDescent="0.2">
      <c r="L124" s="46"/>
    </row>
    <row r="125" spans="12:12" x14ac:dyDescent="0.2">
      <c r="L125" s="46"/>
    </row>
    <row r="126" spans="12:12" x14ac:dyDescent="0.2">
      <c r="L126" s="46"/>
    </row>
    <row r="127" spans="12:12" x14ac:dyDescent="0.2">
      <c r="L127" s="46"/>
    </row>
    <row r="128" spans="12:12" x14ac:dyDescent="0.2">
      <c r="L128" s="46"/>
    </row>
    <row r="129" spans="12:12" x14ac:dyDescent="0.2">
      <c r="L129" s="46"/>
    </row>
    <row r="130" spans="12:12" x14ac:dyDescent="0.2">
      <c r="L130" s="46"/>
    </row>
    <row r="131" spans="12:12" x14ac:dyDescent="0.2">
      <c r="L131" s="46"/>
    </row>
    <row r="132" spans="12:12" x14ac:dyDescent="0.2">
      <c r="L132" s="46"/>
    </row>
    <row r="133" spans="12:12" x14ac:dyDescent="0.2">
      <c r="L133" s="46"/>
    </row>
    <row r="134" spans="12:12" x14ac:dyDescent="0.2">
      <c r="L134" s="46"/>
    </row>
    <row r="135" spans="12:12" x14ac:dyDescent="0.2">
      <c r="L135" s="46"/>
    </row>
    <row r="136" spans="12:12" x14ac:dyDescent="0.2">
      <c r="L136" s="46"/>
    </row>
    <row r="137" spans="12:12" x14ac:dyDescent="0.2">
      <c r="L137" s="46"/>
    </row>
    <row r="138" spans="12:12" x14ac:dyDescent="0.2">
      <c r="L138" s="46"/>
    </row>
    <row r="139" spans="12:12" x14ac:dyDescent="0.2">
      <c r="L139" s="46"/>
    </row>
    <row r="140" spans="12:12" x14ac:dyDescent="0.2">
      <c r="L140" s="46"/>
    </row>
    <row r="141" spans="12:12" x14ac:dyDescent="0.2">
      <c r="L141" s="46"/>
    </row>
    <row r="142" spans="12:12" x14ac:dyDescent="0.2">
      <c r="L142" s="46"/>
    </row>
    <row r="143" spans="12:12" x14ac:dyDescent="0.2">
      <c r="L143" s="46"/>
    </row>
    <row r="144" spans="12:12" x14ac:dyDescent="0.2">
      <c r="L144" s="46"/>
    </row>
    <row r="145" spans="12:12" x14ac:dyDescent="0.2">
      <c r="L145" s="46"/>
    </row>
    <row r="146" spans="12:12" x14ac:dyDescent="0.2">
      <c r="L146" s="46"/>
    </row>
    <row r="147" spans="12:12" x14ac:dyDescent="0.2">
      <c r="L147" s="46"/>
    </row>
    <row r="148" spans="12:12" x14ac:dyDescent="0.2">
      <c r="L148" s="46"/>
    </row>
    <row r="149" spans="12:12" x14ac:dyDescent="0.2">
      <c r="L149" s="46"/>
    </row>
    <row r="150" spans="12:12" x14ac:dyDescent="0.2">
      <c r="L150" s="46"/>
    </row>
    <row r="151" spans="12:12" x14ac:dyDescent="0.2">
      <c r="L151" s="46"/>
    </row>
    <row r="152" spans="12:12" x14ac:dyDescent="0.2">
      <c r="L152" s="46"/>
    </row>
    <row r="153" spans="12:12" x14ac:dyDescent="0.2">
      <c r="L153" s="46"/>
    </row>
    <row r="154" spans="12:12" x14ac:dyDescent="0.2">
      <c r="L154" s="46"/>
    </row>
    <row r="155" spans="12:12" x14ac:dyDescent="0.2">
      <c r="L155" s="46"/>
    </row>
    <row r="156" spans="12:12" x14ac:dyDescent="0.2">
      <c r="L156" s="46"/>
    </row>
    <row r="157" spans="12:12" x14ac:dyDescent="0.2">
      <c r="L157" s="46"/>
    </row>
    <row r="158" spans="12:12" x14ac:dyDescent="0.2">
      <c r="L158" s="46"/>
    </row>
    <row r="159" spans="12:12" x14ac:dyDescent="0.2">
      <c r="L159" s="46"/>
    </row>
    <row r="160" spans="12:12" x14ac:dyDescent="0.2">
      <c r="L160" s="46"/>
    </row>
    <row r="161" spans="12:12" x14ac:dyDescent="0.2">
      <c r="L161" s="46"/>
    </row>
    <row r="162" spans="12:12" x14ac:dyDescent="0.2">
      <c r="L162" s="46"/>
    </row>
    <row r="163" spans="12:12" x14ac:dyDescent="0.2">
      <c r="L163" s="46"/>
    </row>
    <row r="164" spans="12:12" x14ac:dyDescent="0.2">
      <c r="L164" s="46"/>
    </row>
    <row r="165" spans="12:12" x14ac:dyDescent="0.2">
      <c r="L165" s="46"/>
    </row>
    <row r="166" spans="12:12" x14ac:dyDescent="0.2">
      <c r="L166" s="46"/>
    </row>
    <row r="167" spans="12:12" x14ac:dyDescent="0.2">
      <c r="L167" s="46"/>
    </row>
    <row r="168" spans="12:12" x14ac:dyDescent="0.2">
      <c r="L168" s="46"/>
    </row>
    <row r="169" spans="12:12" x14ac:dyDescent="0.2">
      <c r="L169" s="46"/>
    </row>
    <row r="170" spans="12:12" x14ac:dyDescent="0.2">
      <c r="L170" s="46"/>
    </row>
    <row r="171" spans="12:12" x14ac:dyDescent="0.2">
      <c r="L171" s="46"/>
    </row>
    <row r="172" spans="12:12" x14ac:dyDescent="0.2">
      <c r="L172" s="46"/>
    </row>
    <row r="173" spans="12:12" x14ac:dyDescent="0.2">
      <c r="L173" s="46"/>
    </row>
    <row r="174" spans="12:12" x14ac:dyDescent="0.2">
      <c r="L174" s="46"/>
    </row>
    <row r="175" spans="12:12" x14ac:dyDescent="0.2">
      <c r="L175" s="46"/>
    </row>
    <row r="176" spans="12:12" x14ac:dyDescent="0.2">
      <c r="L176" s="46"/>
    </row>
    <row r="177" spans="12:12" x14ac:dyDescent="0.2">
      <c r="L177" s="46"/>
    </row>
    <row r="178" spans="12:12" x14ac:dyDescent="0.2">
      <c r="L178" s="46"/>
    </row>
    <row r="179" spans="12:12" x14ac:dyDescent="0.2">
      <c r="L179" s="46"/>
    </row>
    <row r="180" spans="12:12" x14ac:dyDescent="0.2">
      <c r="L180" s="46"/>
    </row>
    <row r="181" spans="12:12" x14ac:dyDescent="0.2">
      <c r="L181" s="46"/>
    </row>
    <row r="182" spans="12:12" x14ac:dyDescent="0.2">
      <c r="L182" s="46"/>
    </row>
    <row r="183" spans="12:12" x14ac:dyDescent="0.2">
      <c r="L183" s="46"/>
    </row>
    <row r="184" spans="12:12" x14ac:dyDescent="0.2">
      <c r="L184" s="46"/>
    </row>
    <row r="185" spans="12:12" x14ac:dyDescent="0.2">
      <c r="L185" s="46"/>
    </row>
    <row r="186" spans="12:12" x14ac:dyDescent="0.2">
      <c r="L186" s="46"/>
    </row>
    <row r="187" spans="12:12" x14ac:dyDescent="0.2">
      <c r="L187" s="46"/>
    </row>
    <row r="188" spans="12:12" x14ac:dyDescent="0.2">
      <c r="L188" s="46"/>
    </row>
    <row r="189" spans="12:12" x14ac:dyDescent="0.2">
      <c r="L189" s="46"/>
    </row>
    <row r="190" spans="12:12" x14ac:dyDescent="0.2">
      <c r="L190" s="46"/>
    </row>
    <row r="191" spans="12:12" x14ac:dyDescent="0.2">
      <c r="L191" s="46"/>
    </row>
    <row r="192" spans="12:12" x14ac:dyDescent="0.2">
      <c r="L192" s="46"/>
    </row>
    <row r="193" spans="12:12" x14ac:dyDescent="0.2">
      <c r="L193" s="46"/>
    </row>
    <row r="194" spans="12:12" x14ac:dyDescent="0.2">
      <c r="L194" s="46"/>
    </row>
    <row r="195" spans="12:12" x14ac:dyDescent="0.2">
      <c r="L195" s="46"/>
    </row>
    <row r="196" spans="12:12" x14ac:dyDescent="0.2">
      <c r="L196" s="46"/>
    </row>
    <row r="197" spans="12:12" x14ac:dyDescent="0.2">
      <c r="L197" s="46"/>
    </row>
    <row r="198" spans="12:12" x14ac:dyDescent="0.2">
      <c r="L198" s="46"/>
    </row>
    <row r="199" spans="12:12" x14ac:dyDescent="0.2">
      <c r="L199" s="46"/>
    </row>
    <row r="200" spans="12:12" x14ac:dyDescent="0.2">
      <c r="L200" s="46"/>
    </row>
    <row r="201" spans="12:12" x14ac:dyDescent="0.2">
      <c r="L201" s="46"/>
    </row>
    <row r="202" spans="12:12" x14ac:dyDescent="0.2">
      <c r="L202" s="46"/>
    </row>
    <row r="203" spans="12:12" x14ac:dyDescent="0.2">
      <c r="L203" s="46"/>
    </row>
    <row r="204" spans="12:12" x14ac:dyDescent="0.2">
      <c r="L204" s="46"/>
    </row>
    <row r="205" spans="12:12" x14ac:dyDescent="0.2">
      <c r="L205" s="46"/>
    </row>
    <row r="206" spans="12:12" x14ac:dyDescent="0.2">
      <c r="L206" s="46"/>
    </row>
    <row r="207" spans="12:12" x14ac:dyDescent="0.2">
      <c r="L207" s="46"/>
    </row>
    <row r="208" spans="12:12" x14ac:dyDescent="0.2">
      <c r="L208" s="46"/>
    </row>
    <row r="209" spans="12:12" x14ac:dyDescent="0.2">
      <c r="L209" s="46"/>
    </row>
    <row r="210" spans="12:12" x14ac:dyDescent="0.2">
      <c r="L210" s="46"/>
    </row>
    <row r="211" spans="12:12" x14ac:dyDescent="0.2">
      <c r="L211" s="46"/>
    </row>
    <row r="212" spans="12:12" x14ac:dyDescent="0.2">
      <c r="L212" s="46"/>
    </row>
    <row r="213" spans="12:12" x14ac:dyDescent="0.2">
      <c r="L213" s="46"/>
    </row>
    <row r="214" spans="12:12" x14ac:dyDescent="0.2">
      <c r="L214" s="46"/>
    </row>
    <row r="215" spans="12:12" x14ac:dyDescent="0.2">
      <c r="L215" s="46"/>
    </row>
    <row r="216" spans="12:12" x14ac:dyDescent="0.2">
      <c r="L216" s="46"/>
    </row>
    <row r="217" spans="12:12" x14ac:dyDescent="0.2">
      <c r="L217" s="46"/>
    </row>
    <row r="218" spans="12:12" x14ac:dyDescent="0.2">
      <c r="L218" s="46"/>
    </row>
    <row r="219" spans="12:12" x14ac:dyDescent="0.2">
      <c r="L219" s="46"/>
    </row>
    <row r="220" spans="12:12" x14ac:dyDescent="0.2">
      <c r="L220" s="46"/>
    </row>
    <row r="221" spans="12:12" x14ac:dyDescent="0.2">
      <c r="L221" s="46"/>
    </row>
    <row r="222" spans="12:12" x14ac:dyDescent="0.2">
      <c r="L222" s="46"/>
    </row>
    <row r="223" spans="12:12" x14ac:dyDescent="0.2">
      <c r="L223" s="46"/>
    </row>
    <row r="224" spans="12:12" x14ac:dyDescent="0.2">
      <c r="L224" s="46"/>
    </row>
    <row r="225" spans="12:12" x14ac:dyDescent="0.2">
      <c r="L225" s="46"/>
    </row>
    <row r="226" spans="12:12" x14ac:dyDescent="0.2">
      <c r="L226" s="46"/>
    </row>
    <row r="227" spans="12:12" x14ac:dyDescent="0.2">
      <c r="L227" s="46"/>
    </row>
    <row r="228" spans="12:12" x14ac:dyDescent="0.2">
      <c r="L228" s="46"/>
    </row>
    <row r="229" spans="12:12" x14ac:dyDescent="0.2">
      <c r="L229" s="46"/>
    </row>
    <row r="230" spans="12:12" x14ac:dyDescent="0.2">
      <c r="L230" s="46"/>
    </row>
    <row r="231" spans="12:12" x14ac:dyDescent="0.2">
      <c r="L231" s="46"/>
    </row>
    <row r="232" spans="12:12" x14ac:dyDescent="0.2">
      <c r="L232" s="46"/>
    </row>
    <row r="233" spans="12:12" x14ac:dyDescent="0.2">
      <c r="L233" s="46"/>
    </row>
    <row r="234" spans="12:12" x14ac:dyDescent="0.2">
      <c r="L234" s="46"/>
    </row>
    <row r="235" spans="12:12" x14ac:dyDescent="0.2">
      <c r="L235" s="46"/>
    </row>
    <row r="236" spans="12:12" x14ac:dyDescent="0.2">
      <c r="L236" s="46"/>
    </row>
    <row r="237" spans="12:12" x14ac:dyDescent="0.2">
      <c r="L237" s="46"/>
    </row>
    <row r="238" spans="12:12" x14ac:dyDescent="0.2">
      <c r="L238" s="46"/>
    </row>
    <row r="239" spans="12:12" x14ac:dyDescent="0.2">
      <c r="L239" s="46"/>
    </row>
    <row r="240" spans="12:12" x14ac:dyDescent="0.2">
      <c r="L240" s="46"/>
    </row>
    <row r="241" spans="12:12" x14ac:dyDescent="0.2">
      <c r="L241" s="46"/>
    </row>
    <row r="242" spans="12:12" x14ac:dyDescent="0.2">
      <c r="L242" s="46"/>
    </row>
    <row r="243" spans="12:12" x14ac:dyDescent="0.2">
      <c r="L243" s="46"/>
    </row>
    <row r="244" spans="12:12" x14ac:dyDescent="0.2">
      <c r="L244" s="46"/>
    </row>
    <row r="245" spans="12:12" x14ac:dyDescent="0.2">
      <c r="L245" s="46"/>
    </row>
    <row r="246" spans="12:12" x14ac:dyDescent="0.2">
      <c r="L246" s="46"/>
    </row>
    <row r="247" spans="12:12" x14ac:dyDescent="0.2">
      <c r="L247" s="46"/>
    </row>
    <row r="248" spans="12:12" x14ac:dyDescent="0.2">
      <c r="L248" s="46"/>
    </row>
    <row r="249" spans="12:12" x14ac:dyDescent="0.2">
      <c r="L249" s="46"/>
    </row>
    <row r="250" spans="12:12" x14ac:dyDescent="0.2">
      <c r="L250" s="46"/>
    </row>
    <row r="251" spans="12:12" x14ac:dyDescent="0.2">
      <c r="L251" s="46"/>
    </row>
    <row r="252" spans="12:12" x14ac:dyDescent="0.2">
      <c r="L252" s="46"/>
    </row>
    <row r="253" spans="12:12" x14ac:dyDescent="0.2">
      <c r="L253" s="46"/>
    </row>
    <row r="254" spans="12:12" x14ac:dyDescent="0.2">
      <c r="L254" s="46"/>
    </row>
    <row r="255" spans="12:12" x14ac:dyDescent="0.2">
      <c r="L255" s="46"/>
    </row>
    <row r="256" spans="12:12" x14ac:dyDescent="0.2">
      <c r="L256" s="46"/>
    </row>
    <row r="257" spans="12:12" x14ac:dyDescent="0.2">
      <c r="L257" s="46"/>
    </row>
    <row r="258" spans="12:12" x14ac:dyDescent="0.2">
      <c r="L258" s="46"/>
    </row>
    <row r="259" spans="12:12" x14ac:dyDescent="0.2">
      <c r="L259" s="46"/>
    </row>
    <row r="260" spans="12:12" x14ac:dyDescent="0.2">
      <c r="L260" s="46"/>
    </row>
    <row r="261" spans="12:12" x14ac:dyDescent="0.2">
      <c r="L261" s="46"/>
    </row>
    <row r="262" spans="12:12" x14ac:dyDescent="0.2">
      <c r="L262" s="46"/>
    </row>
    <row r="263" spans="12:12" x14ac:dyDescent="0.2">
      <c r="L263" s="46"/>
    </row>
    <row r="264" spans="12:12" x14ac:dyDescent="0.2">
      <c r="L264" s="46"/>
    </row>
    <row r="265" spans="12:12" x14ac:dyDescent="0.2">
      <c r="L265" s="46"/>
    </row>
    <row r="266" spans="12:12" x14ac:dyDescent="0.2">
      <c r="L266" s="46"/>
    </row>
    <row r="267" spans="12:12" x14ac:dyDescent="0.2">
      <c r="L267" s="46"/>
    </row>
    <row r="268" spans="12:12" x14ac:dyDescent="0.2">
      <c r="L268" s="46"/>
    </row>
    <row r="269" spans="12:12" x14ac:dyDescent="0.2">
      <c r="L269" s="46"/>
    </row>
    <row r="270" spans="12:12" x14ac:dyDescent="0.2">
      <c r="L270" s="46"/>
    </row>
    <row r="271" spans="12:12" x14ac:dyDescent="0.2">
      <c r="L271" s="46"/>
    </row>
    <row r="272" spans="12:12" x14ac:dyDescent="0.2">
      <c r="L272" s="46"/>
    </row>
    <row r="273" spans="12:12" x14ac:dyDescent="0.2">
      <c r="L273" s="46"/>
    </row>
    <row r="274" spans="12:12" x14ac:dyDescent="0.2">
      <c r="L274" s="46"/>
    </row>
    <row r="275" spans="12:12" x14ac:dyDescent="0.2">
      <c r="L275" s="46"/>
    </row>
    <row r="276" spans="12:12" x14ac:dyDescent="0.2">
      <c r="L276" s="46"/>
    </row>
    <row r="277" spans="12:12" x14ac:dyDescent="0.2">
      <c r="L277" s="46"/>
    </row>
    <row r="278" spans="12:12" x14ac:dyDescent="0.2">
      <c r="L278" s="46"/>
    </row>
    <row r="279" spans="12:12" x14ac:dyDescent="0.2">
      <c r="L279" s="46"/>
    </row>
    <row r="280" spans="12:12" x14ac:dyDescent="0.2">
      <c r="L280" s="46"/>
    </row>
    <row r="281" spans="12:12" x14ac:dyDescent="0.2">
      <c r="L281" s="46"/>
    </row>
    <row r="282" spans="12:12" x14ac:dyDescent="0.2">
      <c r="L282" s="46"/>
    </row>
    <row r="283" spans="12:12" x14ac:dyDescent="0.2">
      <c r="L283" s="46"/>
    </row>
    <row r="284" spans="12:12" x14ac:dyDescent="0.2">
      <c r="L284" s="46"/>
    </row>
    <row r="285" spans="12:12" x14ac:dyDescent="0.2">
      <c r="L285" s="46"/>
    </row>
    <row r="286" spans="12:12" x14ac:dyDescent="0.2">
      <c r="L286" s="46"/>
    </row>
    <row r="287" spans="12:12" x14ac:dyDescent="0.2">
      <c r="L287" s="46"/>
    </row>
    <row r="288" spans="12:12" x14ac:dyDescent="0.2">
      <c r="L288" s="46"/>
    </row>
    <row r="289" spans="12:12" x14ac:dyDescent="0.2">
      <c r="L289" s="46"/>
    </row>
    <row r="290" spans="12:12" x14ac:dyDescent="0.2">
      <c r="L290" s="46"/>
    </row>
    <row r="291" spans="12:12" x14ac:dyDescent="0.2">
      <c r="L291" s="46"/>
    </row>
    <row r="292" spans="12:12" x14ac:dyDescent="0.2">
      <c r="L292" s="46"/>
    </row>
    <row r="293" spans="12:12" x14ac:dyDescent="0.2">
      <c r="L293" s="46"/>
    </row>
    <row r="294" spans="12:12" x14ac:dyDescent="0.2">
      <c r="L294" s="46"/>
    </row>
    <row r="295" spans="12:12" x14ac:dyDescent="0.2">
      <c r="L295" s="46"/>
    </row>
    <row r="296" spans="12:12" x14ac:dyDescent="0.2">
      <c r="L296" s="46"/>
    </row>
    <row r="297" spans="12:12" x14ac:dyDescent="0.2">
      <c r="L297" s="46"/>
    </row>
    <row r="298" spans="12:12" x14ac:dyDescent="0.2">
      <c r="L298" s="46"/>
    </row>
    <row r="299" spans="12:12" x14ac:dyDescent="0.2">
      <c r="L299" s="46"/>
    </row>
    <row r="300" spans="12:12" x14ac:dyDescent="0.2">
      <c r="L300" s="46"/>
    </row>
    <row r="301" spans="12:12" x14ac:dyDescent="0.2">
      <c r="L301" s="46"/>
    </row>
    <row r="302" spans="12:12" x14ac:dyDescent="0.2">
      <c r="L302" s="46"/>
    </row>
    <row r="303" spans="12:12" x14ac:dyDescent="0.2">
      <c r="L303" s="46"/>
    </row>
    <row r="304" spans="12:12" x14ac:dyDescent="0.2">
      <c r="L304" s="46"/>
    </row>
    <row r="305" spans="12:12" x14ac:dyDescent="0.2">
      <c r="L305" s="46"/>
    </row>
    <row r="306" spans="12:12" x14ac:dyDescent="0.2">
      <c r="L306" s="46"/>
    </row>
    <row r="307" spans="12:12" x14ac:dyDescent="0.2">
      <c r="L307" s="46"/>
    </row>
    <row r="308" spans="12:12" x14ac:dyDescent="0.2">
      <c r="L308" s="46"/>
    </row>
    <row r="309" spans="12:12" x14ac:dyDescent="0.2">
      <c r="L309" s="46"/>
    </row>
    <row r="310" spans="12:12" x14ac:dyDescent="0.2">
      <c r="L310" s="46"/>
    </row>
    <row r="311" spans="12:12" x14ac:dyDescent="0.2">
      <c r="L311" s="46"/>
    </row>
    <row r="312" spans="12:12" x14ac:dyDescent="0.2">
      <c r="L312" s="46"/>
    </row>
    <row r="313" spans="12:12" x14ac:dyDescent="0.2">
      <c r="L313" s="46"/>
    </row>
    <row r="314" spans="12:12" x14ac:dyDescent="0.2">
      <c r="L314" s="46"/>
    </row>
    <row r="315" spans="12:12" x14ac:dyDescent="0.2">
      <c r="L315" s="46"/>
    </row>
    <row r="316" spans="12:12" x14ac:dyDescent="0.2">
      <c r="L316" s="46"/>
    </row>
    <row r="317" spans="12:12" x14ac:dyDescent="0.2">
      <c r="L317" s="46"/>
    </row>
    <row r="318" spans="12:12" x14ac:dyDescent="0.2">
      <c r="L318" s="46"/>
    </row>
    <row r="319" spans="12:12" x14ac:dyDescent="0.2">
      <c r="L319" s="46"/>
    </row>
    <row r="320" spans="12:12" x14ac:dyDescent="0.2">
      <c r="L320" s="46"/>
    </row>
    <row r="321" spans="12:12" x14ac:dyDescent="0.2">
      <c r="L321" s="46"/>
    </row>
    <row r="322" spans="12:12" x14ac:dyDescent="0.2">
      <c r="L322" s="46"/>
    </row>
    <row r="323" spans="12:12" x14ac:dyDescent="0.2">
      <c r="L323" s="46"/>
    </row>
    <row r="324" spans="12:12" x14ac:dyDescent="0.2">
      <c r="L324" s="46"/>
    </row>
    <row r="325" spans="12:12" x14ac:dyDescent="0.2">
      <c r="L325" s="46"/>
    </row>
    <row r="326" spans="12:12" x14ac:dyDescent="0.2">
      <c r="L326" s="46"/>
    </row>
    <row r="327" spans="12:12" x14ac:dyDescent="0.2">
      <c r="L327" s="46"/>
    </row>
    <row r="328" spans="12:12" x14ac:dyDescent="0.2">
      <c r="L328" s="46"/>
    </row>
    <row r="329" spans="12:12" x14ac:dyDescent="0.2">
      <c r="L329" s="46"/>
    </row>
    <row r="330" spans="12:12" x14ac:dyDescent="0.2">
      <c r="L330" s="46"/>
    </row>
    <row r="331" spans="12:12" x14ac:dyDescent="0.2">
      <c r="L331" s="46"/>
    </row>
    <row r="332" spans="12:12" x14ac:dyDescent="0.2">
      <c r="L332" s="46"/>
    </row>
    <row r="333" spans="12:12" x14ac:dyDescent="0.2">
      <c r="L333" s="46"/>
    </row>
    <row r="334" spans="12:12" x14ac:dyDescent="0.2">
      <c r="L334" s="46"/>
    </row>
    <row r="335" spans="12:12" x14ac:dyDescent="0.2">
      <c r="L335" s="46"/>
    </row>
    <row r="336" spans="12:12" x14ac:dyDescent="0.2">
      <c r="L336" s="46"/>
    </row>
    <row r="337" spans="12:12" x14ac:dyDescent="0.2">
      <c r="L337" s="46"/>
    </row>
    <row r="338" spans="12:12" x14ac:dyDescent="0.2">
      <c r="L338" s="46"/>
    </row>
    <row r="339" spans="12:12" x14ac:dyDescent="0.2">
      <c r="L339" s="46"/>
    </row>
    <row r="340" spans="12:12" x14ac:dyDescent="0.2">
      <c r="L340" s="46"/>
    </row>
    <row r="341" spans="12:12" x14ac:dyDescent="0.2">
      <c r="L341" s="46"/>
    </row>
    <row r="342" spans="12:12" x14ac:dyDescent="0.2">
      <c r="L342" s="46"/>
    </row>
    <row r="343" spans="12:12" x14ac:dyDescent="0.2">
      <c r="L343" s="46"/>
    </row>
    <row r="344" spans="12:12" x14ac:dyDescent="0.2">
      <c r="L344" s="46"/>
    </row>
    <row r="345" spans="12:12" x14ac:dyDescent="0.2">
      <c r="L345" s="46"/>
    </row>
    <row r="346" spans="12:12" x14ac:dyDescent="0.2">
      <c r="L346" s="46"/>
    </row>
    <row r="347" spans="12:12" x14ac:dyDescent="0.2">
      <c r="L347" s="46"/>
    </row>
    <row r="348" spans="12:12" x14ac:dyDescent="0.2">
      <c r="L348" s="46"/>
    </row>
    <row r="349" spans="12:12" x14ac:dyDescent="0.2">
      <c r="L349" s="46"/>
    </row>
    <row r="350" spans="12:12" x14ac:dyDescent="0.2">
      <c r="L350" s="46"/>
    </row>
    <row r="351" spans="12:12" x14ac:dyDescent="0.2">
      <c r="L351" s="46"/>
    </row>
    <row r="352" spans="12:12" x14ac:dyDescent="0.2">
      <c r="L352" s="46"/>
    </row>
    <row r="353" spans="12:12" x14ac:dyDescent="0.2">
      <c r="L353" s="46"/>
    </row>
    <row r="354" spans="12:12" x14ac:dyDescent="0.2">
      <c r="L354" s="46"/>
    </row>
    <row r="355" spans="12:12" x14ac:dyDescent="0.2">
      <c r="L355" s="46"/>
    </row>
    <row r="356" spans="12:12" x14ac:dyDescent="0.2">
      <c r="L356" s="46"/>
    </row>
    <row r="357" spans="12:12" x14ac:dyDescent="0.2">
      <c r="L357" s="46"/>
    </row>
    <row r="358" spans="12:12" x14ac:dyDescent="0.2">
      <c r="L358" s="46"/>
    </row>
    <row r="359" spans="12:12" x14ac:dyDescent="0.2">
      <c r="L359" s="46"/>
    </row>
    <row r="360" spans="12:12" x14ac:dyDescent="0.2">
      <c r="L360" s="46"/>
    </row>
    <row r="361" spans="12:12" x14ac:dyDescent="0.2">
      <c r="L361" s="46"/>
    </row>
    <row r="362" spans="12:12" x14ac:dyDescent="0.2">
      <c r="L362" s="46"/>
    </row>
    <row r="363" spans="12:12" x14ac:dyDescent="0.2">
      <c r="L363" s="46"/>
    </row>
    <row r="364" spans="12:12" x14ac:dyDescent="0.2">
      <c r="L364" s="46"/>
    </row>
    <row r="365" spans="12:12" x14ac:dyDescent="0.2">
      <c r="L365" s="46"/>
    </row>
    <row r="366" spans="12:12" x14ac:dyDescent="0.2">
      <c r="L366" s="46"/>
    </row>
    <row r="367" spans="12:12" x14ac:dyDescent="0.2">
      <c r="L367" s="46"/>
    </row>
    <row r="368" spans="12:12" x14ac:dyDescent="0.2">
      <c r="L368" s="46"/>
    </row>
    <row r="369" spans="12:12" x14ac:dyDescent="0.2">
      <c r="L369" s="46"/>
    </row>
    <row r="370" spans="12:12" x14ac:dyDescent="0.2">
      <c r="L370" s="46"/>
    </row>
    <row r="371" spans="12:12" x14ac:dyDescent="0.2">
      <c r="L371" s="46"/>
    </row>
    <row r="372" spans="12:12" x14ac:dyDescent="0.2">
      <c r="L372" s="46"/>
    </row>
    <row r="373" spans="12:12" x14ac:dyDescent="0.2">
      <c r="L373" s="46"/>
    </row>
    <row r="374" spans="12:12" x14ac:dyDescent="0.2">
      <c r="L374" s="46"/>
    </row>
    <row r="375" spans="12:12" x14ac:dyDescent="0.2">
      <c r="L375" s="46"/>
    </row>
    <row r="376" spans="12:12" x14ac:dyDescent="0.2">
      <c r="L376" s="46"/>
    </row>
    <row r="377" spans="12:12" x14ac:dyDescent="0.2">
      <c r="L377" s="46"/>
    </row>
    <row r="378" spans="12:12" x14ac:dyDescent="0.2">
      <c r="L378" s="46"/>
    </row>
    <row r="379" spans="12:12" x14ac:dyDescent="0.2">
      <c r="L379" s="46"/>
    </row>
    <row r="380" spans="12:12" x14ac:dyDescent="0.2">
      <c r="L380" s="46"/>
    </row>
    <row r="381" spans="12:12" x14ac:dyDescent="0.2">
      <c r="L381" s="46"/>
    </row>
    <row r="382" spans="12:12" x14ac:dyDescent="0.2">
      <c r="L382" s="46"/>
    </row>
    <row r="383" spans="12:12" x14ac:dyDescent="0.2">
      <c r="L383" s="46"/>
    </row>
    <row r="384" spans="12:12" x14ac:dyDescent="0.2">
      <c r="L384" s="46"/>
    </row>
    <row r="385" spans="12:12" x14ac:dyDescent="0.2">
      <c r="L385" s="46"/>
    </row>
    <row r="386" spans="12:12" x14ac:dyDescent="0.2">
      <c r="L386" s="46"/>
    </row>
    <row r="387" spans="12:12" x14ac:dyDescent="0.2">
      <c r="L387" s="46"/>
    </row>
    <row r="388" spans="12:12" x14ac:dyDescent="0.2">
      <c r="L388" s="46"/>
    </row>
    <row r="389" spans="12:12" x14ac:dyDescent="0.2">
      <c r="L389" s="46"/>
    </row>
    <row r="390" spans="12:12" x14ac:dyDescent="0.2">
      <c r="L390" s="46"/>
    </row>
    <row r="391" spans="12:12" x14ac:dyDescent="0.2">
      <c r="L391" s="46"/>
    </row>
    <row r="392" spans="12:12" x14ac:dyDescent="0.2">
      <c r="L392" s="46"/>
    </row>
    <row r="393" spans="12:12" x14ac:dyDescent="0.2">
      <c r="L393" s="46"/>
    </row>
    <row r="394" spans="12:12" x14ac:dyDescent="0.2">
      <c r="L394" s="46"/>
    </row>
    <row r="395" spans="12:12" x14ac:dyDescent="0.2">
      <c r="L395" s="46"/>
    </row>
    <row r="396" spans="12:12" x14ac:dyDescent="0.2">
      <c r="L396" s="46"/>
    </row>
    <row r="397" spans="12:12" x14ac:dyDescent="0.2">
      <c r="L397" s="46"/>
    </row>
    <row r="398" spans="12:12" x14ac:dyDescent="0.2">
      <c r="L398" s="46"/>
    </row>
    <row r="399" spans="12:12" x14ac:dyDescent="0.2">
      <c r="L399" s="46"/>
    </row>
    <row r="400" spans="12:12" x14ac:dyDescent="0.2">
      <c r="L400" s="46"/>
    </row>
    <row r="401" spans="12:12" x14ac:dyDescent="0.2">
      <c r="L401" s="46"/>
    </row>
    <row r="402" spans="12:12" x14ac:dyDescent="0.2">
      <c r="L402" s="46"/>
    </row>
    <row r="403" spans="12:12" x14ac:dyDescent="0.2">
      <c r="L403" s="46"/>
    </row>
    <row r="404" spans="12:12" x14ac:dyDescent="0.2">
      <c r="L404" s="46"/>
    </row>
    <row r="405" spans="12:12" x14ac:dyDescent="0.2">
      <c r="L405" s="46"/>
    </row>
    <row r="406" spans="12:12" x14ac:dyDescent="0.2">
      <c r="L406" s="46"/>
    </row>
    <row r="407" spans="12:12" x14ac:dyDescent="0.2">
      <c r="L407" s="46"/>
    </row>
    <row r="408" spans="12:12" x14ac:dyDescent="0.2">
      <c r="L408" s="46"/>
    </row>
    <row r="409" spans="12:12" x14ac:dyDescent="0.2">
      <c r="L409" s="46"/>
    </row>
    <row r="410" spans="12:12" x14ac:dyDescent="0.2">
      <c r="L410" s="46"/>
    </row>
    <row r="411" spans="12:12" x14ac:dyDescent="0.2">
      <c r="L411" s="46"/>
    </row>
    <row r="412" spans="12:12" x14ac:dyDescent="0.2">
      <c r="L412" s="46"/>
    </row>
    <row r="413" spans="12:12" x14ac:dyDescent="0.2">
      <c r="L413" s="46"/>
    </row>
    <row r="414" spans="12:12" x14ac:dyDescent="0.2">
      <c r="L414" s="46"/>
    </row>
    <row r="415" spans="12:12" x14ac:dyDescent="0.2">
      <c r="L415" s="46"/>
    </row>
    <row r="416" spans="12:12" x14ac:dyDescent="0.2">
      <c r="L416" s="46"/>
    </row>
    <row r="417" spans="12:12" x14ac:dyDescent="0.2">
      <c r="L417" s="46"/>
    </row>
    <row r="418" spans="12:12" x14ac:dyDescent="0.2">
      <c r="L418" s="46"/>
    </row>
    <row r="419" spans="12:12" x14ac:dyDescent="0.2">
      <c r="L419" s="46"/>
    </row>
    <row r="420" spans="12:12" x14ac:dyDescent="0.2">
      <c r="L420" s="46"/>
    </row>
    <row r="421" spans="12:12" x14ac:dyDescent="0.2">
      <c r="L421" s="46"/>
    </row>
    <row r="422" spans="12:12" x14ac:dyDescent="0.2">
      <c r="L422" s="46"/>
    </row>
    <row r="423" spans="12:12" x14ac:dyDescent="0.2">
      <c r="L423" s="46"/>
    </row>
    <row r="424" spans="12:12" x14ac:dyDescent="0.2">
      <c r="L424" s="46"/>
    </row>
    <row r="425" spans="12:12" x14ac:dyDescent="0.2">
      <c r="L425" s="46"/>
    </row>
    <row r="426" spans="12:12" x14ac:dyDescent="0.2">
      <c r="L426" s="46"/>
    </row>
    <row r="427" spans="12:12" x14ac:dyDescent="0.2">
      <c r="L427" s="46"/>
    </row>
    <row r="428" spans="12:12" x14ac:dyDescent="0.2">
      <c r="L428" s="46"/>
    </row>
    <row r="429" spans="12:12" x14ac:dyDescent="0.2">
      <c r="L429" s="46"/>
    </row>
    <row r="430" spans="12:12" x14ac:dyDescent="0.2">
      <c r="L430" s="46"/>
    </row>
    <row r="431" spans="12:12" x14ac:dyDescent="0.2">
      <c r="L431" s="46"/>
    </row>
    <row r="432" spans="12:12" x14ac:dyDescent="0.2">
      <c r="L432" s="46"/>
    </row>
    <row r="433" spans="12:12" x14ac:dyDescent="0.2">
      <c r="L433" s="46"/>
    </row>
    <row r="434" spans="12:12" x14ac:dyDescent="0.2">
      <c r="L434" s="46"/>
    </row>
    <row r="435" spans="12:12" x14ac:dyDescent="0.2">
      <c r="L435" s="46"/>
    </row>
    <row r="436" spans="12:12" x14ac:dyDescent="0.2">
      <c r="L436" s="46"/>
    </row>
    <row r="437" spans="12:12" x14ac:dyDescent="0.2">
      <c r="L437" s="46"/>
    </row>
    <row r="438" spans="12:12" x14ac:dyDescent="0.2">
      <c r="L438" s="46"/>
    </row>
    <row r="439" spans="12:12" x14ac:dyDescent="0.2">
      <c r="L439" s="46"/>
    </row>
    <row r="440" spans="12:12" x14ac:dyDescent="0.2">
      <c r="L440" s="46"/>
    </row>
    <row r="441" spans="12:12" x14ac:dyDescent="0.2">
      <c r="L441" s="46"/>
    </row>
    <row r="442" spans="12:12" x14ac:dyDescent="0.2">
      <c r="L442" s="46"/>
    </row>
    <row r="443" spans="12:12" x14ac:dyDescent="0.2">
      <c r="L443" s="46"/>
    </row>
    <row r="444" spans="12:12" x14ac:dyDescent="0.2">
      <c r="L444" s="46"/>
    </row>
    <row r="445" spans="12:12" x14ac:dyDescent="0.2">
      <c r="L445" s="46"/>
    </row>
    <row r="446" spans="12:12" x14ac:dyDescent="0.2">
      <c r="L446" s="46"/>
    </row>
    <row r="447" spans="12:12" x14ac:dyDescent="0.2">
      <c r="L447" s="46"/>
    </row>
    <row r="448" spans="12:12" x14ac:dyDescent="0.2">
      <c r="L448" s="46"/>
    </row>
    <row r="449" spans="12:12" x14ac:dyDescent="0.2">
      <c r="L449" s="46"/>
    </row>
    <row r="450" spans="12:12" x14ac:dyDescent="0.2">
      <c r="L450" s="46"/>
    </row>
    <row r="451" spans="12:12" x14ac:dyDescent="0.2">
      <c r="L451" s="46"/>
    </row>
    <row r="452" spans="12:12" x14ac:dyDescent="0.2">
      <c r="L452" s="46"/>
    </row>
    <row r="453" spans="12:12" x14ac:dyDescent="0.2">
      <c r="L453" s="46"/>
    </row>
    <row r="454" spans="12:12" x14ac:dyDescent="0.2">
      <c r="L454" s="46"/>
    </row>
    <row r="455" spans="12:12" x14ac:dyDescent="0.2">
      <c r="L455" s="46"/>
    </row>
    <row r="456" spans="12:12" x14ac:dyDescent="0.2">
      <c r="L456" s="46"/>
    </row>
    <row r="457" spans="12:12" x14ac:dyDescent="0.2">
      <c r="L457" s="46"/>
    </row>
    <row r="458" spans="12:12" x14ac:dyDescent="0.2">
      <c r="L458" s="46"/>
    </row>
    <row r="459" spans="12:12" x14ac:dyDescent="0.2">
      <c r="L459" s="46"/>
    </row>
    <row r="460" spans="12:12" x14ac:dyDescent="0.2">
      <c r="L460" s="46"/>
    </row>
    <row r="461" spans="12:12" x14ac:dyDescent="0.2">
      <c r="L461" s="46"/>
    </row>
    <row r="462" spans="12:12" x14ac:dyDescent="0.2">
      <c r="L462" s="46"/>
    </row>
    <row r="463" spans="12:12" x14ac:dyDescent="0.2">
      <c r="L463" s="46"/>
    </row>
    <row r="464" spans="12:12" x14ac:dyDescent="0.2">
      <c r="L464" s="46"/>
    </row>
    <row r="465" spans="12:12" x14ac:dyDescent="0.2">
      <c r="L465" s="46"/>
    </row>
    <row r="466" spans="12:12" x14ac:dyDescent="0.2">
      <c r="L466" s="46"/>
    </row>
    <row r="467" spans="12:12" x14ac:dyDescent="0.2">
      <c r="L467" s="46"/>
    </row>
    <row r="468" spans="12:12" x14ac:dyDescent="0.2">
      <c r="L468" s="46"/>
    </row>
    <row r="469" spans="12:12" x14ac:dyDescent="0.2">
      <c r="L469" s="46"/>
    </row>
    <row r="470" spans="12:12" x14ac:dyDescent="0.2">
      <c r="L470" s="46"/>
    </row>
    <row r="471" spans="12:12" x14ac:dyDescent="0.2">
      <c r="L471" s="46"/>
    </row>
    <row r="472" spans="12:12" x14ac:dyDescent="0.2">
      <c r="L472" s="46"/>
    </row>
    <row r="473" spans="12:12" x14ac:dyDescent="0.2">
      <c r="L473" s="46"/>
    </row>
    <row r="474" spans="12:12" x14ac:dyDescent="0.2">
      <c r="L474" s="46"/>
    </row>
    <row r="475" spans="12:12" x14ac:dyDescent="0.2">
      <c r="L475" s="46"/>
    </row>
    <row r="476" spans="12:12" x14ac:dyDescent="0.2">
      <c r="L476" s="46"/>
    </row>
    <row r="477" spans="12:12" x14ac:dyDescent="0.2">
      <c r="L477" s="46"/>
    </row>
    <row r="478" spans="12:12" x14ac:dyDescent="0.2">
      <c r="L478" s="46"/>
    </row>
    <row r="479" spans="12:12" x14ac:dyDescent="0.2">
      <c r="L479" s="46"/>
    </row>
    <row r="480" spans="12:12" x14ac:dyDescent="0.2">
      <c r="L480" s="46"/>
    </row>
    <row r="481" spans="12:12" x14ac:dyDescent="0.2">
      <c r="L481" s="46"/>
    </row>
    <row r="482" spans="12:12" x14ac:dyDescent="0.2">
      <c r="L482" s="46"/>
    </row>
    <row r="483" spans="12:12" x14ac:dyDescent="0.2">
      <c r="L483" s="46"/>
    </row>
    <row r="484" spans="12:12" x14ac:dyDescent="0.2">
      <c r="L484" s="46"/>
    </row>
    <row r="485" spans="12:12" x14ac:dyDescent="0.2">
      <c r="L485" s="46"/>
    </row>
    <row r="486" spans="12:12" x14ac:dyDescent="0.2">
      <c r="L486" s="46"/>
    </row>
    <row r="487" spans="12:12" x14ac:dyDescent="0.2">
      <c r="L487" s="46"/>
    </row>
    <row r="488" spans="12:12" x14ac:dyDescent="0.2">
      <c r="L488" s="46"/>
    </row>
    <row r="489" spans="12:12" x14ac:dyDescent="0.2">
      <c r="L489" s="46"/>
    </row>
    <row r="490" spans="12:12" x14ac:dyDescent="0.2">
      <c r="L490" s="46"/>
    </row>
    <row r="491" spans="12:12" x14ac:dyDescent="0.2">
      <c r="L491" s="46"/>
    </row>
    <row r="492" spans="12:12" x14ac:dyDescent="0.2">
      <c r="L492" s="46"/>
    </row>
    <row r="493" spans="12:12" x14ac:dyDescent="0.2">
      <c r="L493" s="46"/>
    </row>
    <row r="494" spans="12:12" x14ac:dyDescent="0.2">
      <c r="L494" s="46"/>
    </row>
    <row r="495" spans="12:12" x14ac:dyDescent="0.2">
      <c r="L495" s="46"/>
    </row>
    <row r="496" spans="12:12" x14ac:dyDescent="0.2">
      <c r="L496" s="46"/>
    </row>
    <row r="497" spans="12:12" x14ac:dyDescent="0.2">
      <c r="L497" s="46"/>
    </row>
    <row r="498" spans="12:12" x14ac:dyDescent="0.2">
      <c r="L498" s="46"/>
    </row>
    <row r="499" spans="12:12" x14ac:dyDescent="0.2">
      <c r="L499" s="46"/>
    </row>
    <row r="500" spans="12:12" x14ac:dyDescent="0.2">
      <c r="L500" s="46"/>
    </row>
    <row r="501" spans="12:12" x14ac:dyDescent="0.2">
      <c r="L501" s="46"/>
    </row>
    <row r="502" spans="12:12" x14ac:dyDescent="0.2">
      <c r="L502" s="46"/>
    </row>
    <row r="503" spans="12:12" x14ac:dyDescent="0.2">
      <c r="L503" s="46"/>
    </row>
    <row r="504" spans="12:12" x14ac:dyDescent="0.2">
      <c r="L504" s="46"/>
    </row>
    <row r="505" spans="12:12" x14ac:dyDescent="0.2">
      <c r="L505" s="46"/>
    </row>
    <row r="506" spans="12:12" x14ac:dyDescent="0.2">
      <c r="L506" s="46"/>
    </row>
    <row r="507" spans="12:12" x14ac:dyDescent="0.2">
      <c r="L507" s="46"/>
    </row>
    <row r="508" spans="12:12" x14ac:dyDescent="0.2">
      <c r="L508" s="46"/>
    </row>
    <row r="509" spans="12:12" x14ac:dyDescent="0.2">
      <c r="L509" s="46"/>
    </row>
    <row r="510" spans="12:12" x14ac:dyDescent="0.2">
      <c r="L510" s="46"/>
    </row>
    <row r="511" spans="12:12" x14ac:dyDescent="0.2">
      <c r="L511" s="46"/>
    </row>
    <row r="512" spans="12:12" x14ac:dyDescent="0.2">
      <c r="L512" s="46"/>
    </row>
    <row r="513" spans="12:12" x14ac:dyDescent="0.2">
      <c r="L513" s="46"/>
    </row>
    <row r="514" spans="12:12" x14ac:dyDescent="0.2">
      <c r="L514" s="46"/>
    </row>
    <row r="515" spans="12:12" x14ac:dyDescent="0.2">
      <c r="L515" s="46"/>
    </row>
    <row r="516" spans="12:12" x14ac:dyDescent="0.2">
      <c r="L516" s="46"/>
    </row>
    <row r="517" spans="12:12" x14ac:dyDescent="0.2">
      <c r="L517" s="46"/>
    </row>
    <row r="518" spans="12:12" x14ac:dyDescent="0.2">
      <c r="L518" s="46"/>
    </row>
    <row r="519" spans="12:12" x14ac:dyDescent="0.2">
      <c r="L519" s="46"/>
    </row>
    <row r="520" spans="12:12" x14ac:dyDescent="0.2">
      <c r="L520" s="46"/>
    </row>
    <row r="521" spans="12:12" x14ac:dyDescent="0.2">
      <c r="L521" s="46"/>
    </row>
    <row r="522" spans="12:12" x14ac:dyDescent="0.2">
      <c r="L522" s="46"/>
    </row>
    <row r="523" spans="12:12" x14ac:dyDescent="0.2">
      <c r="L523" s="46"/>
    </row>
    <row r="524" spans="12:12" x14ac:dyDescent="0.2">
      <c r="L524" s="46"/>
    </row>
    <row r="525" spans="12:12" x14ac:dyDescent="0.2">
      <c r="L525" s="46"/>
    </row>
    <row r="526" spans="12:12" x14ac:dyDescent="0.2">
      <c r="L526" s="46"/>
    </row>
    <row r="527" spans="12:12" x14ac:dyDescent="0.2">
      <c r="L527" s="46"/>
    </row>
    <row r="528" spans="12:12" x14ac:dyDescent="0.2">
      <c r="L528" s="46"/>
    </row>
    <row r="529" spans="12:12" x14ac:dyDescent="0.2">
      <c r="L529" s="46"/>
    </row>
    <row r="530" spans="12:12" x14ac:dyDescent="0.2">
      <c r="L530" s="46"/>
    </row>
    <row r="531" spans="12:12" x14ac:dyDescent="0.2">
      <c r="L531" s="46"/>
    </row>
    <row r="532" spans="12:12" x14ac:dyDescent="0.2">
      <c r="L532" s="46"/>
    </row>
    <row r="533" spans="12:12" x14ac:dyDescent="0.2">
      <c r="L533" s="46"/>
    </row>
    <row r="534" spans="12:12" x14ac:dyDescent="0.2">
      <c r="L534" s="46"/>
    </row>
    <row r="535" spans="12:12" x14ac:dyDescent="0.2">
      <c r="L535" s="46"/>
    </row>
    <row r="536" spans="12:12" x14ac:dyDescent="0.2">
      <c r="L536" s="46"/>
    </row>
    <row r="537" spans="12:12" x14ac:dyDescent="0.2">
      <c r="L537" s="46"/>
    </row>
    <row r="538" spans="12:12" x14ac:dyDescent="0.2">
      <c r="L538" s="46"/>
    </row>
    <row r="539" spans="12:12" x14ac:dyDescent="0.2">
      <c r="L539" s="46"/>
    </row>
    <row r="540" spans="12:12" x14ac:dyDescent="0.2">
      <c r="L540" s="46"/>
    </row>
    <row r="541" spans="12:12" x14ac:dyDescent="0.2">
      <c r="L541" s="46"/>
    </row>
    <row r="542" spans="12:12" x14ac:dyDescent="0.2">
      <c r="L542" s="46"/>
    </row>
    <row r="543" spans="12:12" x14ac:dyDescent="0.2">
      <c r="L543" s="46"/>
    </row>
    <row r="544" spans="12:12" x14ac:dyDescent="0.2">
      <c r="L544" s="46"/>
    </row>
    <row r="545" spans="12:12" x14ac:dyDescent="0.2">
      <c r="L545" s="46"/>
    </row>
    <row r="546" spans="12:12" x14ac:dyDescent="0.2">
      <c r="L546" s="46"/>
    </row>
    <row r="547" spans="12:12" x14ac:dyDescent="0.2">
      <c r="L547" s="46"/>
    </row>
    <row r="548" spans="12:12" x14ac:dyDescent="0.2">
      <c r="L548" s="46"/>
    </row>
    <row r="549" spans="12:12" x14ac:dyDescent="0.2">
      <c r="L549" s="46"/>
    </row>
    <row r="550" spans="12:12" x14ac:dyDescent="0.2">
      <c r="L550" s="46"/>
    </row>
    <row r="551" spans="12:12" x14ac:dyDescent="0.2">
      <c r="L551" s="46"/>
    </row>
    <row r="552" spans="12:12" x14ac:dyDescent="0.2">
      <c r="L552" s="46"/>
    </row>
    <row r="553" spans="12:12" x14ac:dyDescent="0.2">
      <c r="L553" s="46"/>
    </row>
    <row r="554" spans="12:12" x14ac:dyDescent="0.2">
      <c r="L554" s="46"/>
    </row>
    <row r="555" spans="12:12" x14ac:dyDescent="0.2">
      <c r="L555" s="46"/>
    </row>
    <row r="556" spans="12:12" x14ac:dyDescent="0.2">
      <c r="L556" s="46"/>
    </row>
    <row r="557" spans="12:12" x14ac:dyDescent="0.2">
      <c r="L557" s="46"/>
    </row>
    <row r="558" spans="12:12" x14ac:dyDescent="0.2">
      <c r="L558" s="46"/>
    </row>
    <row r="559" spans="12:12" x14ac:dyDescent="0.2">
      <c r="L559" s="46"/>
    </row>
    <row r="560" spans="12:12" x14ac:dyDescent="0.2">
      <c r="L560" s="46"/>
    </row>
    <row r="561" spans="12:12" x14ac:dyDescent="0.2">
      <c r="L561" s="46"/>
    </row>
    <row r="562" spans="12:12" x14ac:dyDescent="0.2">
      <c r="L562" s="46"/>
    </row>
    <row r="563" spans="12:12" x14ac:dyDescent="0.2">
      <c r="L563" s="46"/>
    </row>
    <row r="564" spans="12:12" x14ac:dyDescent="0.2">
      <c r="L564" s="46"/>
    </row>
    <row r="565" spans="12:12" x14ac:dyDescent="0.2">
      <c r="L565" s="46"/>
    </row>
    <row r="566" spans="12:12" x14ac:dyDescent="0.2">
      <c r="L566" s="46"/>
    </row>
    <row r="567" spans="12:12" x14ac:dyDescent="0.2">
      <c r="L567" s="46"/>
    </row>
    <row r="568" spans="12:12" x14ac:dyDescent="0.2">
      <c r="L568" s="46"/>
    </row>
    <row r="569" spans="12:12" x14ac:dyDescent="0.2">
      <c r="L569" s="46"/>
    </row>
    <row r="570" spans="12:12" x14ac:dyDescent="0.2">
      <c r="L570" s="46"/>
    </row>
    <row r="571" spans="12:12" x14ac:dyDescent="0.2">
      <c r="L571" s="46"/>
    </row>
    <row r="572" spans="12:12" x14ac:dyDescent="0.2">
      <c r="L572" s="46"/>
    </row>
    <row r="573" spans="12:12" x14ac:dyDescent="0.2">
      <c r="L573" s="46"/>
    </row>
    <row r="574" spans="12:12" x14ac:dyDescent="0.2">
      <c r="L574" s="46"/>
    </row>
    <row r="575" spans="12:12" x14ac:dyDescent="0.2">
      <c r="L575" s="46"/>
    </row>
    <row r="576" spans="12:12" x14ac:dyDescent="0.2">
      <c r="L576" s="46"/>
    </row>
    <row r="577" spans="12:12" x14ac:dyDescent="0.2">
      <c r="L577" s="46"/>
    </row>
    <row r="578" spans="12:12" x14ac:dyDescent="0.2">
      <c r="L578" s="46"/>
    </row>
    <row r="579" spans="12:12" x14ac:dyDescent="0.2">
      <c r="L579" s="46"/>
    </row>
    <row r="580" spans="12:12" x14ac:dyDescent="0.2">
      <c r="L580" s="46"/>
    </row>
    <row r="581" spans="12:12" x14ac:dyDescent="0.2">
      <c r="L581" s="46"/>
    </row>
    <row r="582" spans="12:12" x14ac:dyDescent="0.2">
      <c r="L582" s="46"/>
    </row>
    <row r="583" spans="12:12" x14ac:dyDescent="0.2">
      <c r="L583" s="46"/>
    </row>
    <row r="584" spans="12:12" x14ac:dyDescent="0.2">
      <c r="L584" s="46"/>
    </row>
    <row r="585" spans="12:12" x14ac:dyDescent="0.2">
      <c r="L585" s="46"/>
    </row>
    <row r="586" spans="12:12" x14ac:dyDescent="0.2">
      <c r="L586" s="46"/>
    </row>
    <row r="587" spans="12:12" x14ac:dyDescent="0.2">
      <c r="L587" s="46"/>
    </row>
    <row r="588" spans="12:12" x14ac:dyDescent="0.2">
      <c r="L588" s="46"/>
    </row>
    <row r="589" spans="12:12" x14ac:dyDescent="0.2">
      <c r="L589" s="46"/>
    </row>
    <row r="590" spans="12:12" x14ac:dyDescent="0.2">
      <c r="L590" s="46"/>
    </row>
    <row r="591" spans="12:12" x14ac:dyDescent="0.2">
      <c r="L591" s="46"/>
    </row>
    <row r="592" spans="12:12" x14ac:dyDescent="0.2">
      <c r="L592" s="46"/>
    </row>
    <row r="593" spans="12:12" x14ac:dyDescent="0.2">
      <c r="L593" s="46"/>
    </row>
    <row r="594" spans="12:12" x14ac:dyDescent="0.2">
      <c r="L594" s="46"/>
    </row>
    <row r="595" spans="12:12" x14ac:dyDescent="0.2">
      <c r="L595" s="46"/>
    </row>
    <row r="596" spans="12:12" x14ac:dyDescent="0.2">
      <c r="L596" s="46"/>
    </row>
    <row r="597" spans="12:12" x14ac:dyDescent="0.2">
      <c r="L597" s="46"/>
    </row>
    <row r="598" spans="12:12" x14ac:dyDescent="0.2">
      <c r="L598" s="46"/>
    </row>
    <row r="599" spans="12:12" x14ac:dyDescent="0.2">
      <c r="L599" s="46"/>
    </row>
    <row r="600" spans="12:12" x14ac:dyDescent="0.2">
      <c r="L600" s="46"/>
    </row>
    <row r="601" spans="12:12" x14ac:dyDescent="0.2">
      <c r="L601" s="46"/>
    </row>
    <row r="602" spans="12:12" x14ac:dyDescent="0.2">
      <c r="L602" s="46"/>
    </row>
    <row r="603" spans="12:12" x14ac:dyDescent="0.2">
      <c r="L603" s="46"/>
    </row>
    <row r="604" spans="12:12" x14ac:dyDescent="0.2">
      <c r="L604" s="46"/>
    </row>
    <row r="605" spans="12:12" x14ac:dyDescent="0.2">
      <c r="L605" s="46"/>
    </row>
    <row r="606" spans="12:12" x14ac:dyDescent="0.2">
      <c r="L606" s="46"/>
    </row>
    <row r="607" spans="12:12" x14ac:dyDescent="0.2">
      <c r="L607" s="46"/>
    </row>
    <row r="608" spans="12:12" x14ac:dyDescent="0.2">
      <c r="L608" s="46"/>
    </row>
    <row r="609" spans="12:12" x14ac:dyDescent="0.2">
      <c r="L609" s="46"/>
    </row>
    <row r="610" spans="12:12" x14ac:dyDescent="0.2">
      <c r="L610" s="46"/>
    </row>
    <row r="611" spans="12:12" x14ac:dyDescent="0.2">
      <c r="L611" s="46"/>
    </row>
    <row r="612" spans="12:12" x14ac:dyDescent="0.2">
      <c r="L612" s="46"/>
    </row>
    <row r="613" spans="12:12" x14ac:dyDescent="0.2">
      <c r="L613" s="46"/>
    </row>
    <row r="614" spans="12:12" x14ac:dyDescent="0.2">
      <c r="L614" s="46"/>
    </row>
    <row r="615" spans="12:12" x14ac:dyDescent="0.2">
      <c r="L615" s="46"/>
    </row>
    <row r="616" spans="12:12" x14ac:dyDescent="0.2">
      <c r="L616" s="46"/>
    </row>
    <row r="617" spans="12:12" x14ac:dyDescent="0.2">
      <c r="L617" s="46"/>
    </row>
    <row r="618" spans="12:12" x14ac:dyDescent="0.2">
      <c r="L618" s="46"/>
    </row>
    <row r="619" spans="12:12" x14ac:dyDescent="0.2">
      <c r="L619" s="46"/>
    </row>
    <row r="620" spans="12:12" x14ac:dyDescent="0.2">
      <c r="L620" s="46"/>
    </row>
    <row r="621" spans="12:12" x14ac:dyDescent="0.2">
      <c r="L621" s="46"/>
    </row>
    <row r="622" spans="12:12" x14ac:dyDescent="0.2">
      <c r="L622" s="46"/>
    </row>
    <row r="623" spans="12:12" x14ac:dyDescent="0.2">
      <c r="L623" s="46"/>
    </row>
    <row r="624" spans="12:12" x14ac:dyDescent="0.2">
      <c r="L624" s="46"/>
    </row>
    <row r="625" spans="12:12" x14ac:dyDescent="0.2">
      <c r="L625" s="46"/>
    </row>
    <row r="626" spans="12:12" x14ac:dyDescent="0.2">
      <c r="L626" s="46"/>
    </row>
    <row r="627" spans="12:12" x14ac:dyDescent="0.2">
      <c r="L627" s="46"/>
    </row>
    <row r="628" spans="12:12" x14ac:dyDescent="0.2">
      <c r="L628" s="46"/>
    </row>
    <row r="629" spans="12:12" x14ac:dyDescent="0.2">
      <c r="L629" s="46"/>
    </row>
    <row r="630" spans="12:12" x14ac:dyDescent="0.2">
      <c r="L630" s="46"/>
    </row>
    <row r="631" spans="12:12" x14ac:dyDescent="0.2">
      <c r="L631" s="46"/>
    </row>
    <row r="632" spans="12:12" x14ac:dyDescent="0.2">
      <c r="L632" s="46"/>
    </row>
    <row r="633" spans="12:12" x14ac:dyDescent="0.2">
      <c r="L633" s="46"/>
    </row>
    <row r="634" spans="12:12" x14ac:dyDescent="0.2">
      <c r="L634" s="46"/>
    </row>
    <row r="635" spans="12:12" x14ac:dyDescent="0.2">
      <c r="L635" s="46"/>
    </row>
    <row r="636" spans="12:12" x14ac:dyDescent="0.2">
      <c r="L636" s="46"/>
    </row>
    <row r="637" spans="12:12" x14ac:dyDescent="0.2">
      <c r="L637" s="46"/>
    </row>
    <row r="638" spans="12:12" x14ac:dyDescent="0.2">
      <c r="L638" s="46"/>
    </row>
    <row r="639" spans="12:12" x14ac:dyDescent="0.2">
      <c r="L639" s="46"/>
    </row>
    <row r="640" spans="12:12" x14ac:dyDescent="0.2">
      <c r="L640" s="46"/>
    </row>
    <row r="641" spans="12:12" x14ac:dyDescent="0.2">
      <c r="L641" s="46"/>
    </row>
    <row r="642" spans="12:12" x14ac:dyDescent="0.2">
      <c r="L642" s="46"/>
    </row>
    <row r="643" spans="12:12" x14ac:dyDescent="0.2">
      <c r="L643" s="46"/>
    </row>
    <row r="644" spans="12:12" x14ac:dyDescent="0.2">
      <c r="L644" s="46"/>
    </row>
    <row r="645" spans="12:12" x14ac:dyDescent="0.2">
      <c r="L645" s="46"/>
    </row>
    <row r="646" spans="12:12" x14ac:dyDescent="0.2">
      <c r="L646" s="46"/>
    </row>
    <row r="647" spans="12:12" x14ac:dyDescent="0.2">
      <c r="L647" s="46"/>
    </row>
    <row r="648" spans="12:12" x14ac:dyDescent="0.2">
      <c r="L648" s="46"/>
    </row>
    <row r="649" spans="12:12" x14ac:dyDescent="0.2">
      <c r="L649" s="46"/>
    </row>
    <row r="650" spans="12:12" x14ac:dyDescent="0.2">
      <c r="L650" s="46"/>
    </row>
    <row r="651" spans="12:12" x14ac:dyDescent="0.2">
      <c r="L651" s="46"/>
    </row>
    <row r="652" spans="12:12" x14ac:dyDescent="0.2">
      <c r="L652" s="46"/>
    </row>
    <row r="653" spans="12:12" x14ac:dyDescent="0.2">
      <c r="L653" s="46"/>
    </row>
    <row r="654" spans="12:12" x14ac:dyDescent="0.2">
      <c r="L654" s="46"/>
    </row>
    <row r="655" spans="12:12" x14ac:dyDescent="0.2">
      <c r="L655" s="46"/>
    </row>
    <row r="656" spans="12:12" x14ac:dyDescent="0.2">
      <c r="L656" s="46"/>
    </row>
    <row r="657" spans="12:12" x14ac:dyDescent="0.2">
      <c r="L657" s="46"/>
    </row>
    <row r="658" spans="12:12" x14ac:dyDescent="0.2">
      <c r="L658" s="46"/>
    </row>
    <row r="659" spans="12:12" x14ac:dyDescent="0.2">
      <c r="L659" s="46"/>
    </row>
    <row r="660" spans="12:12" x14ac:dyDescent="0.2">
      <c r="L660" s="46"/>
    </row>
    <row r="661" spans="12:12" x14ac:dyDescent="0.2">
      <c r="L661" s="46"/>
    </row>
    <row r="662" spans="12:12" x14ac:dyDescent="0.2">
      <c r="L662" s="46"/>
    </row>
    <row r="663" spans="12:12" x14ac:dyDescent="0.2">
      <c r="L663" s="46"/>
    </row>
    <row r="664" spans="12:12" x14ac:dyDescent="0.2">
      <c r="L664" s="46"/>
    </row>
    <row r="665" spans="12:12" x14ac:dyDescent="0.2">
      <c r="L665" s="46"/>
    </row>
    <row r="666" spans="12:12" x14ac:dyDescent="0.2">
      <c r="L666" s="46"/>
    </row>
    <row r="667" spans="12:12" x14ac:dyDescent="0.2">
      <c r="L667" s="46"/>
    </row>
    <row r="668" spans="12:12" x14ac:dyDescent="0.2">
      <c r="L668" s="46"/>
    </row>
    <row r="669" spans="12:12" x14ac:dyDescent="0.2">
      <c r="L669" s="46"/>
    </row>
    <row r="670" spans="12:12" x14ac:dyDescent="0.2">
      <c r="L670" s="46"/>
    </row>
    <row r="671" spans="12:12" x14ac:dyDescent="0.2">
      <c r="L671" s="46"/>
    </row>
    <row r="672" spans="12:12" x14ac:dyDescent="0.2">
      <c r="L672" s="46"/>
    </row>
    <row r="673" spans="12:12" x14ac:dyDescent="0.2">
      <c r="L673" s="46"/>
    </row>
    <row r="674" spans="12:12" x14ac:dyDescent="0.2">
      <c r="L674" s="46"/>
    </row>
    <row r="675" spans="12:12" x14ac:dyDescent="0.2">
      <c r="L675" s="46"/>
    </row>
    <row r="676" spans="12:12" x14ac:dyDescent="0.2">
      <c r="L676" s="46"/>
    </row>
    <row r="677" spans="12:12" x14ac:dyDescent="0.2">
      <c r="L677" s="46"/>
    </row>
    <row r="678" spans="12:12" x14ac:dyDescent="0.2">
      <c r="L678" s="46"/>
    </row>
    <row r="679" spans="12:12" x14ac:dyDescent="0.2">
      <c r="L679" s="46"/>
    </row>
    <row r="680" spans="12:12" x14ac:dyDescent="0.2">
      <c r="L680" s="46"/>
    </row>
    <row r="681" spans="12:12" x14ac:dyDescent="0.2">
      <c r="L681" s="46"/>
    </row>
    <row r="682" spans="12:12" x14ac:dyDescent="0.2">
      <c r="L682" s="46"/>
    </row>
    <row r="683" spans="12:12" x14ac:dyDescent="0.2">
      <c r="L683" s="46"/>
    </row>
    <row r="684" spans="12:12" x14ac:dyDescent="0.2">
      <c r="L684" s="46"/>
    </row>
    <row r="685" spans="12:12" x14ac:dyDescent="0.2">
      <c r="L685" s="46"/>
    </row>
    <row r="686" spans="12:12" x14ac:dyDescent="0.2">
      <c r="L686" s="46"/>
    </row>
    <row r="687" spans="12:12" x14ac:dyDescent="0.2">
      <c r="L687" s="46"/>
    </row>
    <row r="688" spans="12:12" x14ac:dyDescent="0.2">
      <c r="L688" s="46"/>
    </row>
    <row r="689" spans="12:12" x14ac:dyDescent="0.2">
      <c r="L689" s="46"/>
    </row>
    <row r="690" spans="12:12" x14ac:dyDescent="0.2">
      <c r="L690" s="46"/>
    </row>
    <row r="691" spans="12:12" x14ac:dyDescent="0.2">
      <c r="L691" s="46"/>
    </row>
    <row r="692" spans="12:12" x14ac:dyDescent="0.2">
      <c r="L692" s="46"/>
    </row>
    <row r="693" spans="12:12" x14ac:dyDescent="0.2">
      <c r="L693" s="46"/>
    </row>
    <row r="694" spans="12:12" x14ac:dyDescent="0.2">
      <c r="L694" s="46"/>
    </row>
    <row r="695" spans="12:12" x14ac:dyDescent="0.2">
      <c r="L695" s="46"/>
    </row>
    <row r="696" spans="12:12" x14ac:dyDescent="0.2">
      <c r="L696" s="46"/>
    </row>
    <row r="697" spans="12:12" x14ac:dyDescent="0.2">
      <c r="L697" s="46"/>
    </row>
    <row r="698" spans="12:12" x14ac:dyDescent="0.2">
      <c r="L698" s="46"/>
    </row>
    <row r="699" spans="12:12" x14ac:dyDescent="0.2">
      <c r="L699" s="46"/>
    </row>
    <row r="700" spans="12:12" x14ac:dyDescent="0.2">
      <c r="L700" s="46"/>
    </row>
    <row r="701" spans="12:12" x14ac:dyDescent="0.2">
      <c r="L701" s="46"/>
    </row>
    <row r="702" spans="12:12" x14ac:dyDescent="0.2">
      <c r="L702" s="46"/>
    </row>
    <row r="703" spans="12:12" x14ac:dyDescent="0.2">
      <c r="L703" s="46"/>
    </row>
    <row r="704" spans="12:12" x14ac:dyDescent="0.2">
      <c r="L704" s="46"/>
    </row>
    <row r="705" spans="12:12" x14ac:dyDescent="0.2">
      <c r="L705" s="46"/>
    </row>
    <row r="706" spans="12:12" x14ac:dyDescent="0.2">
      <c r="L706" s="46"/>
    </row>
    <row r="707" spans="12:12" x14ac:dyDescent="0.2">
      <c r="L707" s="46"/>
    </row>
    <row r="708" spans="12:12" x14ac:dyDescent="0.2">
      <c r="L708" s="46"/>
    </row>
    <row r="709" spans="12:12" x14ac:dyDescent="0.2">
      <c r="L709" s="46"/>
    </row>
    <row r="710" spans="12:12" x14ac:dyDescent="0.2">
      <c r="L710" s="46"/>
    </row>
    <row r="711" spans="12:12" x14ac:dyDescent="0.2">
      <c r="L711" s="46"/>
    </row>
    <row r="712" spans="12:12" x14ac:dyDescent="0.2">
      <c r="L712" s="46"/>
    </row>
    <row r="713" spans="12:12" x14ac:dyDescent="0.2">
      <c r="L713" s="46"/>
    </row>
    <row r="714" spans="12:12" x14ac:dyDescent="0.2">
      <c r="L714" s="46"/>
    </row>
    <row r="715" spans="12:12" x14ac:dyDescent="0.2">
      <c r="L715" s="46"/>
    </row>
    <row r="716" spans="12:12" x14ac:dyDescent="0.2">
      <c r="L716" s="46"/>
    </row>
    <row r="717" spans="12:12" x14ac:dyDescent="0.2">
      <c r="L717" s="46"/>
    </row>
    <row r="718" spans="12:12" x14ac:dyDescent="0.2">
      <c r="L718" s="46"/>
    </row>
    <row r="719" spans="12:12" x14ac:dyDescent="0.2">
      <c r="L719" s="46"/>
    </row>
    <row r="720" spans="12:12" x14ac:dyDescent="0.2">
      <c r="L720" s="46"/>
    </row>
    <row r="721" spans="12:12" x14ac:dyDescent="0.2">
      <c r="L721" s="46"/>
    </row>
    <row r="722" spans="12:12" x14ac:dyDescent="0.2">
      <c r="L722" s="46"/>
    </row>
    <row r="723" spans="12:12" x14ac:dyDescent="0.2">
      <c r="L723" s="46"/>
    </row>
    <row r="724" spans="12:12" x14ac:dyDescent="0.2">
      <c r="L724" s="46"/>
    </row>
    <row r="725" spans="12:12" x14ac:dyDescent="0.2">
      <c r="L725" s="46"/>
    </row>
    <row r="726" spans="12:12" x14ac:dyDescent="0.2">
      <c r="L726" s="46"/>
    </row>
    <row r="727" spans="12:12" x14ac:dyDescent="0.2">
      <c r="L727" s="46"/>
    </row>
    <row r="728" spans="12:12" x14ac:dyDescent="0.2">
      <c r="L728" s="46"/>
    </row>
    <row r="729" spans="12:12" x14ac:dyDescent="0.2">
      <c r="L729" s="46"/>
    </row>
    <row r="730" spans="12:12" x14ac:dyDescent="0.2">
      <c r="L730" s="46"/>
    </row>
    <row r="731" spans="12:12" x14ac:dyDescent="0.2">
      <c r="L731" s="46"/>
    </row>
    <row r="732" spans="12:12" x14ac:dyDescent="0.2">
      <c r="L732" s="46"/>
    </row>
    <row r="733" spans="12:12" x14ac:dyDescent="0.2">
      <c r="L733" s="46"/>
    </row>
    <row r="734" spans="12:12" x14ac:dyDescent="0.2">
      <c r="L734" s="46"/>
    </row>
    <row r="735" spans="12:12" x14ac:dyDescent="0.2">
      <c r="L735" s="46"/>
    </row>
    <row r="736" spans="12:12" x14ac:dyDescent="0.2">
      <c r="L736" s="46"/>
    </row>
    <row r="737" spans="12:12" x14ac:dyDescent="0.2">
      <c r="L737" s="46"/>
    </row>
    <row r="738" spans="12:12" x14ac:dyDescent="0.2">
      <c r="L738" s="46"/>
    </row>
    <row r="739" spans="12:12" x14ac:dyDescent="0.2">
      <c r="L739" s="46"/>
    </row>
    <row r="740" spans="12:12" x14ac:dyDescent="0.2">
      <c r="L740" s="46"/>
    </row>
    <row r="741" spans="12:12" x14ac:dyDescent="0.2">
      <c r="L741" s="46"/>
    </row>
    <row r="742" spans="12:12" x14ac:dyDescent="0.2">
      <c r="L742" s="46"/>
    </row>
    <row r="743" spans="12:12" x14ac:dyDescent="0.2">
      <c r="L743" s="46"/>
    </row>
    <row r="744" spans="12:12" x14ac:dyDescent="0.2">
      <c r="L744" s="46"/>
    </row>
    <row r="745" spans="12:12" x14ac:dyDescent="0.2">
      <c r="L745" s="46"/>
    </row>
    <row r="746" spans="12:12" x14ac:dyDescent="0.2">
      <c r="L746" s="46"/>
    </row>
    <row r="747" spans="12:12" x14ac:dyDescent="0.2">
      <c r="L747" s="46"/>
    </row>
    <row r="748" spans="12:12" x14ac:dyDescent="0.2">
      <c r="L748" s="46"/>
    </row>
    <row r="749" spans="12:12" x14ac:dyDescent="0.2">
      <c r="L749" s="46"/>
    </row>
    <row r="750" spans="12:12" x14ac:dyDescent="0.2">
      <c r="L750" s="46"/>
    </row>
    <row r="751" spans="12:12" x14ac:dyDescent="0.2">
      <c r="L751" s="46"/>
    </row>
    <row r="752" spans="12:12" x14ac:dyDescent="0.2">
      <c r="L752" s="46"/>
    </row>
    <row r="753" spans="12:12" x14ac:dyDescent="0.2">
      <c r="L753" s="46"/>
    </row>
    <row r="754" spans="12:12" x14ac:dyDescent="0.2">
      <c r="L754" s="46"/>
    </row>
    <row r="755" spans="12:12" x14ac:dyDescent="0.2">
      <c r="L755" s="46"/>
    </row>
    <row r="756" spans="12:12" x14ac:dyDescent="0.2">
      <c r="L756" s="46"/>
    </row>
    <row r="757" spans="12:12" x14ac:dyDescent="0.2">
      <c r="L757" s="46"/>
    </row>
    <row r="758" spans="12:12" x14ac:dyDescent="0.2">
      <c r="L758" s="46"/>
    </row>
    <row r="759" spans="12:12" x14ac:dyDescent="0.2">
      <c r="L759" s="46"/>
    </row>
    <row r="760" spans="12:12" x14ac:dyDescent="0.2">
      <c r="L760" s="46"/>
    </row>
    <row r="761" spans="12:12" x14ac:dyDescent="0.2">
      <c r="L761" s="46"/>
    </row>
    <row r="762" spans="12:12" x14ac:dyDescent="0.2">
      <c r="L762" s="46"/>
    </row>
    <row r="763" spans="12:12" x14ac:dyDescent="0.2">
      <c r="L763" s="46"/>
    </row>
    <row r="764" spans="12:12" x14ac:dyDescent="0.2">
      <c r="L764" s="46"/>
    </row>
    <row r="765" spans="12:12" x14ac:dyDescent="0.2">
      <c r="L765" s="46"/>
    </row>
    <row r="766" spans="12:12" x14ac:dyDescent="0.2">
      <c r="L766" s="46"/>
    </row>
    <row r="767" spans="12:12" x14ac:dyDescent="0.2">
      <c r="L767" s="46"/>
    </row>
    <row r="768" spans="12:12" x14ac:dyDescent="0.2">
      <c r="L768" s="46"/>
    </row>
    <row r="769" spans="12:12" x14ac:dyDescent="0.2">
      <c r="L769" s="46"/>
    </row>
    <row r="770" spans="12:12" x14ac:dyDescent="0.2">
      <c r="L770" s="46"/>
    </row>
    <row r="771" spans="12:12" x14ac:dyDescent="0.2">
      <c r="L771" s="46"/>
    </row>
    <row r="772" spans="12:12" x14ac:dyDescent="0.2">
      <c r="L772" s="46"/>
    </row>
    <row r="773" spans="12:12" x14ac:dyDescent="0.2">
      <c r="L773" s="46"/>
    </row>
    <row r="774" spans="12:12" x14ac:dyDescent="0.2">
      <c r="L774" s="46"/>
    </row>
    <row r="775" spans="12:12" x14ac:dyDescent="0.2">
      <c r="L775" s="46"/>
    </row>
    <row r="776" spans="12:12" x14ac:dyDescent="0.2">
      <c r="L776" s="46"/>
    </row>
    <row r="777" spans="12:12" x14ac:dyDescent="0.2">
      <c r="L777" s="46"/>
    </row>
    <row r="778" spans="12:12" x14ac:dyDescent="0.2">
      <c r="L778" s="46"/>
    </row>
    <row r="779" spans="12:12" x14ac:dyDescent="0.2">
      <c r="L779" s="46"/>
    </row>
    <row r="780" spans="12:12" x14ac:dyDescent="0.2">
      <c r="L780" s="46"/>
    </row>
    <row r="781" spans="12:12" x14ac:dyDescent="0.2">
      <c r="L781" s="46"/>
    </row>
    <row r="782" spans="12:12" x14ac:dyDescent="0.2">
      <c r="L782" s="46"/>
    </row>
    <row r="783" spans="12:12" x14ac:dyDescent="0.2">
      <c r="L783" s="46"/>
    </row>
    <row r="784" spans="12:12" x14ac:dyDescent="0.2">
      <c r="L784" s="46"/>
    </row>
    <row r="785" spans="12:12" x14ac:dyDescent="0.2">
      <c r="L785" s="46"/>
    </row>
    <row r="786" spans="12:12" x14ac:dyDescent="0.2">
      <c r="L786" s="46"/>
    </row>
    <row r="787" spans="12:12" x14ac:dyDescent="0.2">
      <c r="L787" s="46"/>
    </row>
    <row r="788" spans="12:12" x14ac:dyDescent="0.2">
      <c r="L788" s="46"/>
    </row>
    <row r="789" spans="12:12" x14ac:dyDescent="0.2">
      <c r="L789" s="46"/>
    </row>
    <row r="790" spans="12:12" x14ac:dyDescent="0.2">
      <c r="L790" s="46"/>
    </row>
    <row r="791" spans="12:12" x14ac:dyDescent="0.2">
      <c r="L791" s="46"/>
    </row>
    <row r="792" spans="12:12" x14ac:dyDescent="0.2">
      <c r="L792" s="46"/>
    </row>
    <row r="793" spans="12:12" x14ac:dyDescent="0.2">
      <c r="L793" s="46"/>
    </row>
    <row r="794" spans="12:12" x14ac:dyDescent="0.2">
      <c r="L794" s="46"/>
    </row>
    <row r="795" spans="12:12" x14ac:dyDescent="0.2">
      <c r="L795" s="46"/>
    </row>
    <row r="796" spans="12:12" x14ac:dyDescent="0.2">
      <c r="L796" s="46"/>
    </row>
    <row r="797" spans="12:12" x14ac:dyDescent="0.2">
      <c r="L797" s="46"/>
    </row>
    <row r="798" spans="12:12" x14ac:dyDescent="0.2">
      <c r="L798" s="46"/>
    </row>
    <row r="799" spans="12:12" x14ac:dyDescent="0.2">
      <c r="L799" s="46"/>
    </row>
    <row r="800" spans="12:12" x14ac:dyDescent="0.2">
      <c r="L800" s="46"/>
    </row>
    <row r="801" spans="12:12" x14ac:dyDescent="0.2">
      <c r="L801" s="46"/>
    </row>
    <row r="802" spans="12:12" x14ac:dyDescent="0.2">
      <c r="L802" s="46"/>
    </row>
    <row r="803" spans="12:12" x14ac:dyDescent="0.2">
      <c r="L803" s="46"/>
    </row>
    <row r="804" spans="12:12" x14ac:dyDescent="0.2">
      <c r="L804" s="46"/>
    </row>
    <row r="805" spans="12:12" x14ac:dyDescent="0.2">
      <c r="L805" s="46"/>
    </row>
    <row r="806" spans="12:12" x14ac:dyDescent="0.2">
      <c r="L806" s="46"/>
    </row>
    <row r="807" spans="12:12" x14ac:dyDescent="0.2">
      <c r="L807" s="46"/>
    </row>
    <row r="808" spans="12:12" x14ac:dyDescent="0.2">
      <c r="L808" s="46"/>
    </row>
    <row r="809" spans="12:12" x14ac:dyDescent="0.2">
      <c r="L809" s="46"/>
    </row>
    <row r="810" spans="12:12" x14ac:dyDescent="0.2">
      <c r="L810" s="46"/>
    </row>
    <row r="811" spans="12:12" x14ac:dyDescent="0.2">
      <c r="L811" s="46"/>
    </row>
    <row r="812" spans="12:12" x14ac:dyDescent="0.2">
      <c r="L812" s="46"/>
    </row>
    <row r="813" spans="12:12" x14ac:dyDescent="0.2">
      <c r="L813" s="46"/>
    </row>
    <row r="814" spans="12:12" x14ac:dyDescent="0.2">
      <c r="L814" s="46"/>
    </row>
    <row r="815" spans="12:12" x14ac:dyDescent="0.2">
      <c r="L815" s="46"/>
    </row>
    <row r="816" spans="12:12" x14ac:dyDescent="0.2">
      <c r="L816" s="46"/>
    </row>
    <row r="817" spans="12:12" x14ac:dyDescent="0.2">
      <c r="L817" s="46"/>
    </row>
    <row r="818" spans="12:12" x14ac:dyDescent="0.2">
      <c r="L818" s="46"/>
    </row>
    <row r="819" spans="12:12" x14ac:dyDescent="0.2">
      <c r="L819" s="46"/>
    </row>
    <row r="820" spans="12:12" x14ac:dyDescent="0.2">
      <c r="L820" s="46"/>
    </row>
    <row r="821" spans="12:12" x14ac:dyDescent="0.2">
      <c r="L821" s="46"/>
    </row>
    <row r="822" spans="12:12" x14ac:dyDescent="0.2">
      <c r="L822" s="46"/>
    </row>
    <row r="823" spans="12:12" x14ac:dyDescent="0.2">
      <c r="L823" s="46"/>
    </row>
    <row r="824" spans="12:12" x14ac:dyDescent="0.2">
      <c r="L824" s="46"/>
    </row>
    <row r="825" spans="12:12" x14ac:dyDescent="0.2">
      <c r="L825" s="46"/>
    </row>
    <row r="826" spans="12:12" x14ac:dyDescent="0.2">
      <c r="L826" s="46"/>
    </row>
    <row r="827" spans="12:12" x14ac:dyDescent="0.2">
      <c r="L827" s="46"/>
    </row>
    <row r="828" spans="12:12" x14ac:dyDescent="0.2">
      <c r="L828" s="46"/>
    </row>
    <row r="829" spans="12:12" x14ac:dyDescent="0.2">
      <c r="L829" s="46"/>
    </row>
    <row r="830" spans="12:12" x14ac:dyDescent="0.2">
      <c r="L830" s="46"/>
    </row>
    <row r="831" spans="12:12" x14ac:dyDescent="0.2">
      <c r="L831" s="46"/>
    </row>
    <row r="832" spans="12:12" x14ac:dyDescent="0.2">
      <c r="L832" s="46"/>
    </row>
    <row r="833" spans="12:12" x14ac:dyDescent="0.2">
      <c r="L833" s="46"/>
    </row>
    <row r="834" spans="12:12" x14ac:dyDescent="0.2">
      <c r="L834" s="46"/>
    </row>
    <row r="835" spans="12:12" x14ac:dyDescent="0.2">
      <c r="L835" s="46"/>
    </row>
    <row r="836" spans="12:12" x14ac:dyDescent="0.2">
      <c r="L836" s="46"/>
    </row>
    <row r="837" spans="12:12" x14ac:dyDescent="0.2">
      <c r="L837" s="46"/>
    </row>
    <row r="838" spans="12:12" x14ac:dyDescent="0.2">
      <c r="L838" s="46"/>
    </row>
    <row r="839" spans="12:12" x14ac:dyDescent="0.2">
      <c r="L839" s="46"/>
    </row>
    <row r="840" spans="12:12" x14ac:dyDescent="0.2">
      <c r="L840" s="46"/>
    </row>
    <row r="841" spans="12:12" x14ac:dyDescent="0.2">
      <c r="L841" s="46"/>
    </row>
    <row r="842" spans="12:12" x14ac:dyDescent="0.2">
      <c r="L842" s="46"/>
    </row>
    <row r="843" spans="12:12" x14ac:dyDescent="0.2">
      <c r="L843" s="46"/>
    </row>
    <row r="844" spans="12:12" x14ac:dyDescent="0.2">
      <c r="L844" s="46"/>
    </row>
    <row r="845" spans="12:12" x14ac:dyDescent="0.2">
      <c r="L845" s="46"/>
    </row>
    <row r="846" spans="12:12" x14ac:dyDescent="0.2">
      <c r="L846" s="46"/>
    </row>
    <row r="847" spans="12:12" x14ac:dyDescent="0.2">
      <c r="L847" s="46"/>
    </row>
    <row r="848" spans="12:12" x14ac:dyDescent="0.2">
      <c r="L848" s="46"/>
    </row>
    <row r="849" spans="12:12" x14ac:dyDescent="0.2">
      <c r="L849" s="46"/>
    </row>
    <row r="850" spans="12:12" x14ac:dyDescent="0.2">
      <c r="L850" s="46"/>
    </row>
    <row r="851" spans="12:12" x14ac:dyDescent="0.2">
      <c r="L851" s="46"/>
    </row>
    <row r="852" spans="12:12" x14ac:dyDescent="0.2">
      <c r="L852" s="46"/>
    </row>
    <row r="853" spans="12:12" x14ac:dyDescent="0.2">
      <c r="L853" s="46"/>
    </row>
    <row r="854" spans="12:12" x14ac:dyDescent="0.2">
      <c r="L854" s="46"/>
    </row>
    <row r="855" spans="12:12" x14ac:dyDescent="0.2">
      <c r="L855" s="46"/>
    </row>
    <row r="856" spans="12:12" x14ac:dyDescent="0.2">
      <c r="L856" s="46"/>
    </row>
    <row r="857" spans="12:12" x14ac:dyDescent="0.2">
      <c r="L857" s="46"/>
    </row>
    <row r="858" spans="12:12" x14ac:dyDescent="0.2">
      <c r="L858" s="46"/>
    </row>
    <row r="859" spans="12:12" x14ac:dyDescent="0.2">
      <c r="L859" s="46"/>
    </row>
    <row r="860" spans="12:12" x14ac:dyDescent="0.2">
      <c r="L860" s="46"/>
    </row>
    <row r="861" spans="12:12" x14ac:dyDescent="0.2">
      <c r="L861" s="46"/>
    </row>
    <row r="862" spans="12:12" x14ac:dyDescent="0.2">
      <c r="L862" s="46"/>
    </row>
    <row r="863" spans="12:12" x14ac:dyDescent="0.2">
      <c r="L863" s="46"/>
    </row>
    <row r="864" spans="12:12" x14ac:dyDescent="0.2">
      <c r="L864" s="46"/>
    </row>
    <row r="865" spans="12:12" x14ac:dyDescent="0.2">
      <c r="L865" s="46"/>
    </row>
    <row r="866" spans="12:12" x14ac:dyDescent="0.2">
      <c r="L866" s="46"/>
    </row>
    <row r="867" spans="12:12" x14ac:dyDescent="0.2">
      <c r="L867" s="46"/>
    </row>
    <row r="868" spans="12:12" x14ac:dyDescent="0.2">
      <c r="L868" s="46"/>
    </row>
    <row r="869" spans="12:12" x14ac:dyDescent="0.2">
      <c r="L869" s="46"/>
    </row>
    <row r="870" spans="12:12" x14ac:dyDescent="0.2">
      <c r="L870" s="46"/>
    </row>
    <row r="871" spans="12:12" x14ac:dyDescent="0.2">
      <c r="L871" s="46"/>
    </row>
    <row r="872" spans="12:12" x14ac:dyDescent="0.2">
      <c r="L872" s="46"/>
    </row>
    <row r="873" spans="12:12" x14ac:dyDescent="0.2">
      <c r="L873" s="46"/>
    </row>
    <row r="874" spans="12:12" x14ac:dyDescent="0.2">
      <c r="L874" s="46"/>
    </row>
    <row r="875" spans="12:12" x14ac:dyDescent="0.2">
      <c r="L875" s="46"/>
    </row>
    <row r="876" spans="12:12" x14ac:dyDescent="0.2">
      <c r="L876" s="46"/>
    </row>
    <row r="877" spans="12:12" x14ac:dyDescent="0.2">
      <c r="L877" s="46"/>
    </row>
    <row r="878" spans="12:12" x14ac:dyDescent="0.2">
      <c r="L878" s="46"/>
    </row>
    <row r="879" spans="12:12" x14ac:dyDescent="0.2">
      <c r="L879" s="46"/>
    </row>
    <row r="880" spans="12:12" x14ac:dyDescent="0.2">
      <c r="L880" s="46"/>
    </row>
    <row r="881" spans="12:12" x14ac:dyDescent="0.2">
      <c r="L881" s="46"/>
    </row>
    <row r="882" spans="12:12" x14ac:dyDescent="0.2">
      <c r="L882" s="46"/>
    </row>
    <row r="883" spans="12:12" x14ac:dyDescent="0.2">
      <c r="L883" s="46"/>
    </row>
    <row r="884" spans="12:12" x14ac:dyDescent="0.2">
      <c r="L884" s="46"/>
    </row>
    <row r="885" spans="12:12" x14ac:dyDescent="0.2">
      <c r="L885" s="46"/>
    </row>
    <row r="886" spans="12:12" x14ac:dyDescent="0.2">
      <c r="L886" s="46"/>
    </row>
    <row r="887" spans="12:12" x14ac:dyDescent="0.2">
      <c r="L887" s="46"/>
    </row>
    <row r="888" spans="12:12" x14ac:dyDescent="0.2">
      <c r="L888" s="46"/>
    </row>
    <row r="889" spans="12:12" x14ac:dyDescent="0.2">
      <c r="L889" s="46"/>
    </row>
    <row r="890" spans="12:12" x14ac:dyDescent="0.2">
      <c r="L890" s="46"/>
    </row>
    <row r="891" spans="12:12" x14ac:dyDescent="0.2">
      <c r="L891" s="46"/>
    </row>
    <row r="892" spans="12:12" x14ac:dyDescent="0.2">
      <c r="L892" s="46"/>
    </row>
    <row r="893" spans="12:12" x14ac:dyDescent="0.2">
      <c r="L893" s="46"/>
    </row>
    <row r="894" spans="12:12" x14ac:dyDescent="0.2">
      <c r="L894" s="46"/>
    </row>
    <row r="895" spans="12:12" x14ac:dyDescent="0.2">
      <c r="L895" s="46"/>
    </row>
    <row r="896" spans="12:12" x14ac:dyDescent="0.2">
      <c r="L896" s="46"/>
    </row>
    <row r="897" spans="12:12" x14ac:dyDescent="0.2">
      <c r="L897" s="46"/>
    </row>
    <row r="898" spans="12:12" x14ac:dyDescent="0.2">
      <c r="L898" s="46"/>
    </row>
    <row r="899" spans="12:12" x14ac:dyDescent="0.2">
      <c r="L899" s="46"/>
    </row>
    <row r="900" spans="12:12" x14ac:dyDescent="0.2">
      <c r="L900" s="46"/>
    </row>
    <row r="901" spans="12:12" x14ac:dyDescent="0.2">
      <c r="L901" s="46"/>
    </row>
    <row r="902" spans="12:12" x14ac:dyDescent="0.2">
      <c r="L902" s="46"/>
    </row>
    <row r="903" spans="12:12" x14ac:dyDescent="0.2">
      <c r="L903" s="46"/>
    </row>
    <row r="904" spans="12:12" x14ac:dyDescent="0.2">
      <c r="L904" s="46"/>
    </row>
    <row r="905" spans="12:12" x14ac:dyDescent="0.2">
      <c r="L905" s="46"/>
    </row>
    <row r="906" spans="12:12" x14ac:dyDescent="0.2">
      <c r="L906" s="46"/>
    </row>
    <row r="907" spans="12:12" x14ac:dyDescent="0.2">
      <c r="L907" s="46"/>
    </row>
    <row r="908" spans="12:12" x14ac:dyDescent="0.2">
      <c r="L908" s="46"/>
    </row>
    <row r="909" spans="12:12" x14ac:dyDescent="0.2">
      <c r="L909" s="46"/>
    </row>
    <row r="910" spans="12:12" x14ac:dyDescent="0.2">
      <c r="L910" s="46"/>
    </row>
    <row r="911" spans="12:12" x14ac:dyDescent="0.2">
      <c r="L911" s="46"/>
    </row>
    <row r="912" spans="12:12" x14ac:dyDescent="0.2">
      <c r="L912" s="46"/>
    </row>
    <row r="913" spans="12:12" x14ac:dyDescent="0.2">
      <c r="L913" s="46"/>
    </row>
    <row r="914" spans="12:12" x14ac:dyDescent="0.2">
      <c r="L914" s="46"/>
    </row>
    <row r="915" spans="12:12" x14ac:dyDescent="0.2">
      <c r="L915" s="46"/>
    </row>
    <row r="916" spans="12:12" x14ac:dyDescent="0.2">
      <c r="L916" s="46"/>
    </row>
    <row r="917" spans="12:12" x14ac:dyDescent="0.2">
      <c r="L917" s="46"/>
    </row>
    <row r="918" spans="12:12" x14ac:dyDescent="0.2">
      <c r="L918" s="46"/>
    </row>
    <row r="919" spans="12:12" x14ac:dyDescent="0.2">
      <c r="L919" s="46"/>
    </row>
    <row r="920" spans="12:12" x14ac:dyDescent="0.2">
      <c r="L920" s="46"/>
    </row>
    <row r="921" spans="12:12" x14ac:dyDescent="0.2">
      <c r="L921" s="46"/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Risky assets only</vt:lpstr>
      <vt:lpstr>Risky + risk-free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Natasa Zrilic</dc:creator>
  <cp:lastModifiedBy>PG-Zhong, Yuguang</cp:lastModifiedBy>
  <dcterms:created xsi:type="dcterms:W3CDTF">2022-09-17T09:50:28Z</dcterms:created>
  <dcterms:modified xsi:type="dcterms:W3CDTF">2026-10-16T11:36:00Z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2022-09-20T08:03:06Z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7cdbcfa8-1272-4efb-a2a1-5bf81f24ca61</vt:lpwstr>
  </property>
  <property fmtid="{D5CDD505-2E9C-101B-9397-08002B2CF9AE}" pid="8" name="MSIP_Label_06c24981-b6df-48f8-949b-0896357b9b03_ContentBits">
    <vt:lpwstr>0</vt:lpwstr>
  </property>
</Properties>
</file>